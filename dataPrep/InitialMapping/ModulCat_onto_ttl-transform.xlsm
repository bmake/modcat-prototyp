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info\Google Drive\BMaKE\KnowledgeGraphs\ModulCat\"/>
    </mc:Choice>
  </mc:AlternateContent>
  <xr:revisionPtr revIDLastSave="0" documentId="13_ncr:1_{63D71B55-2B3A-4B35-94E5-DB07BFB2D869}" xr6:coauthVersionLast="45" xr6:coauthVersionMax="45" xr10:uidLastSave="{00000000-0000-0000-0000-000000000000}"/>
  <bookViews>
    <workbookView xWindow="-28920" yWindow="4095" windowWidth="29040" windowHeight="16440" activeTab="4" xr2:uid="{C53C33D7-7F08-074D-AC0B-E105F98B405C}"/>
  </bookViews>
  <sheets>
    <sheet name="Original" sheetId="1" r:id="rId1"/>
    <sheet name="WiSoSe_Finder" sheetId="4" r:id="rId2"/>
    <sheet name="Processing" sheetId="3" r:id="rId3"/>
    <sheet name="Result" sheetId="2" r:id="rId4"/>
    <sheet name="AktDB_Wi20" sheetId="5" r:id="rId5"/>
  </sheets>
  <definedNames>
    <definedName name="_CTVL001ffcc5efa1e8a4c8da401cb90bfbf5b94" localSheetId="0">Original!$B$28</definedName>
    <definedName name="_xlnm._FilterDatabase" localSheetId="4" hidden="1">AktDB_Wi20!$A$1:$G$41</definedName>
    <definedName name="_Hlk26539694" localSheetId="0">Original!$A$1</definedName>
    <definedName name="_Toc24127405" localSheetId="0">Original!$B$3</definedName>
    <definedName name="_Toc24127406" localSheetId="0">Original!$B$2</definedName>
    <definedName name="_Toc24127407" localSheetId="0">Original!$B$2</definedName>
    <definedName name="_Toc24127408" localSheetId="0">Original!$B$2</definedName>
    <definedName name="_Toc24127409" localSheetId="0">Original!$B$2</definedName>
    <definedName name="_Toc24127410" localSheetId="0">Original!$B$2</definedName>
    <definedName name="_Toc24127411" localSheetId="0">Original!$B$2</definedName>
    <definedName name="_Toc24127412" localSheetId="0">Original!$B$2</definedName>
    <definedName name="_Toc24127413" localSheetId="0">Original!$B$2</definedName>
    <definedName name="_Toc24127414" localSheetId="0">Original!$B$2</definedName>
    <definedName name="_Toc24127415" localSheetId="0">Original!$B$2</definedName>
    <definedName name="_Toc24127416" localSheetId="0">Original!$B$2</definedName>
    <definedName name="_Toc24127417" localSheetId="0">Original!$B$2</definedName>
    <definedName name="_Toc24127418" localSheetId="0">Original!$B$2</definedName>
    <definedName name="_Toc24127419" localSheetId="0">Original!$B$2</definedName>
    <definedName name="_Toc24127420" localSheetId="0">Original!$B$2</definedName>
    <definedName name="_Toc24127421" localSheetId="0">Original!$B$2</definedName>
    <definedName name="_Toc24127422" localSheetId="0">Original!$B$2</definedName>
    <definedName name="_Toc24127423" localSheetId="0">Original!$B$2</definedName>
    <definedName name="_Toc24127424" localSheetId="0">Original!$B$2</definedName>
    <definedName name="_Toc24127425" localSheetId="0">Original!$B$2</definedName>
    <definedName name="_Toc24127426" localSheetId="0">Original!$B$2</definedName>
    <definedName name="_Toc24127427" localSheetId="0">Original!$B$2</definedName>
    <definedName name="_Toc24127428" localSheetId="0">Original!$B$2</definedName>
    <definedName name="_Toc24127429" localSheetId="0">Original!$B$2</definedName>
    <definedName name="_Toc24127430" localSheetId="0">Original!$B$2</definedName>
    <definedName name="_Toc24127431" localSheetId="0">Original!$B$2</definedName>
    <definedName name="_Toc24127433" localSheetId="0">Original!$B$2</definedName>
    <definedName name="_Toc24127434" localSheetId="0">Original!$B$2</definedName>
    <definedName name="_Toc24127435" localSheetId="0">Original!$B$2</definedName>
    <definedName name="_Toc24127436" localSheetId="0">Original!$B$2</definedName>
    <definedName name="_Toc24127437" localSheetId="0">Original!$B$2</definedName>
    <definedName name="_Toc24127438" localSheetId="0">Original!$B$2</definedName>
    <definedName name="_Toc24127439" localSheetId="0">Original!$B$2</definedName>
    <definedName name="_Toc24127440" localSheetId="0">Original!$B$2</definedName>
    <definedName name="_Toc24127441" localSheetId="0">Original!$B$2</definedName>
    <definedName name="_Toc24127442" localSheetId="0">Original!$B$2</definedName>
    <definedName name="_Toc24127443" localSheetId="0">Original!$B$2</definedName>
    <definedName name="_Toc24127444" localSheetId="0">Original!$B$2</definedName>
    <definedName name="_Toc24127445" localSheetId="0">Original!$B$2</definedName>
    <definedName name="_Toc24127446" localSheetId="0">Original!$B$2</definedName>
    <definedName name="_Toc24127447" localSheetId="0">Original!$B$2</definedName>
    <definedName name="_Toc24127448" localSheetId="0">Original!$B$2</definedName>
    <definedName name="_Toc24127449" localSheetId="0">Original!$B$2</definedName>
    <definedName name="_Toc30080398" localSheetId="0">Original!$B$2</definedName>
    <definedName name="_Toc30080399" localSheetId="0">Original!$B$2</definedName>
    <definedName name="_Toc30080400" localSheetId="0">Original!$B$2</definedName>
    <definedName name="_Toc30080401" localSheetId="0">Original!$B$2</definedName>
    <definedName name="_Toc30080402" localSheetId="0">Original!$B$2</definedName>
    <definedName name="_Toc30080404" localSheetId="0">Original!$B$2</definedName>
    <definedName name="_Toc30080405" localSheetId="0">Original!$B$2</definedName>
    <definedName name="_Toc30080406" localSheetId="0">Original!$B$2</definedName>
    <definedName name="_Toc30080408" localSheetId="0">Original!$B$2</definedName>
    <definedName name="_Toc30080409" localSheetId="0">Original!$B$2</definedName>
    <definedName name="_Toc30080410" localSheetId="0">Original!$B$2</definedName>
    <definedName name="_Toc30080411" localSheetId="0">Original!$B$2</definedName>
    <definedName name="_Toc30080412" localSheetId="0">Original!$B$2</definedName>
    <definedName name="_Toc30080414" localSheetId="0">Original!$B$2</definedName>
    <definedName name="_Toc30080415" localSheetId="0">Original!$B$2</definedName>
    <definedName name="_Toc30080416" localSheetId="0">Original!$B$2</definedName>
    <definedName name="_Toc30080417" localSheetId="0">Original!$B$2</definedName>
    <definedName name="_Toc30080418" localSheetId="0">Original!$B$2</definedName>
    <definedName name="_Toc30080419" localSheetId="0">Original!$B$2</definedName>
    <definedName name="_Toc30080420" localSheetId="0">Original!$B$2</definedName>
    <definedName name="_Toc30080421" localSheetId="0">Original!$B$2</definedName>
    <definedName name="_Toc30080422" localSheetId="0">Original!$B$2</definedName>
    <definedName name="_Toc30080423" localSheetId="0">Original!$B$2</definedName>
    <definedName name="_Toc30080430" localSheetId="0">Original!$B$2</definedName>
    <definedName name="_Toc41552884" localSheetId="0">Original!$B$2</definedName>
    <definedName name="_Toc41552885" localSheetId="0">Original!$B$2</definedName>
    <definedName name="_Toc41552886" localSheetId="0">Original!$B$2</definedName>
    <definedName name="_Toc41552887" localSheetId="0">Original!$B$2</definedName>
    <definedName name="_Toc41552888" localSheetId="0">Original!$B$2</definedName>
    <definedName name="_Toc41552889" localSheetId="0">Original!$B$2</definedName>
    <definedName name="_Toc41552890" localSheetId="0">Original!$B$2</definedName>
    <definedName name="_Toc41552892" localSheetId="0">Original!$B$2</definedName>
    <definedName name="_Toc41552893" localSheetId="0">Original!$B$2</definedName>
    <definedName name="_Toc41552894" localSheetId="0">Original!$B$2</definedName>
    <definedName name="_Toc41552895" localSheetId="0">Original!$B$2</definedName>
    <definedName name="_Toc488138527" localSheetId="0">Original!$B$2</definedName>
    <definedName name="productTitle" localSheetId="0">Original!$B$34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9" i="3" l="1"/>
  <c r="D29" i="3" s="1" a="1"/>
  <c r="D29" i="3" s="1"/>
  <c r="E29" i="3" s="1"/>
  <c r="D208" i="3" l="1" a="1"/>
  <c r="D208" i="3" s="1"/>
  <c r="A17" i="2"/>
  <c r="H10" i="3" l="1" a="1"/>
  <c r="H10" i="3" s="1"/>
  <c r="H15" i="3" a="1"/>
  <c r="H15" i="3" s="1"/>
  <c r="G15" i="3" a="1"/>
  <c r="G15" i="3" s="1"/>
  <c r="F15" i="3" a="1"/>
  <c r="F15" i="3" s="1"/>
  <c r="E15" i="3" a="1"/>
  <c r="E15" i="3" s="1"/>
  <c r="D15" i="3" a="1"/>
  <c r="D15" i="3" s="1"/>
  <c r="H14" i="3" a="1"/>
  <c r="H14" i="3" s="1"/>
  <c r="G14" i="3" a="1"/>
  <c r="G14" i="3" s="1"/>
  <c r="F14" i="3" a="1"/>
  <c r="F14" i="3" s="1"/>
  <c r="E14" i="3" a="1"/>
  <c r="E14" i="3" s="1"/>
  <c r="D14" i="3" a="1"/>
  <c r="D14" i="3" s="1"/>
  <c r="H13" i="3" a="1"/>
  <c r="H13" i="3" s="1"/>
  <c r="G13" i="3" a="1"/>
  <c r="G13" i="3" s="1"/>
  <c r="F13" i="3" a="1"/>
  <c r="F13" i="3" s="1"/>
  <c r="E13" i="3" a="1"/>
  <c r="E13" i="3" s="1"/>
  <c r="D13" i="3" a="1"/>
  <c r="D13" i="3" s="1"/>
  <c r="H12" i="3" a="1"/>
  <c r="H12" i="3" s="1"/>
  <c r="G12" i="3" a="1"/>
  <c r="G12" i="3" s="1"/>
  <c r="F12" i="3" a="1"/>
  <c r="F12" i="3" s="1"/>
  <c r="E12" i="3" a="1"/>
  <c r="E12" i="3" s="1"/>
  <c r="D12" i="3" a="1"/>
  <c r="D12" i="3" s="1"/>
  <c r="H11" i="3" a="1"/>
  <c r="H11" i="3" s="1"/>
  <c r="G11" i="3" a="1"/>
  <c r="G11" i="3" s="1"/>
  <c r="F11" i="3" a="1"/>
  <c r="F11" i="3" s="1"/>
  <c r="E11" i="3" a="1"/>
  <c r="E11" i="3" s="1"/>
  <c r="D11" i="3" a="1"/>
  <c r="D11" i="3" s="1"/>
  <c r="G10" i="3" a="1"/>
  <c r="G10" i="3" s="1"/>
  <c r="F10" i="3" a="1"/>
  <c r="F10" i="3" s="1"/>
  <c r="E10" i="3" a="1"/>
  <c r="E10" i="3" s="1"/>
  <c r="D10" i="3" a="1"/>
  <c r="D10" i="3" s="1"/>
  <c r="E16" i="3" l="1"/>
  <c r="D16" i="3"/>
  <c r="I17" i="3" l="1"/>
  <c r="D17" i="3" l="1" a="1"/>
  <c r="D17" i="3" s="1"/>
  <c r="A59" i="2" a="1"/>
  <c r="A59" i="2" s="1"/>
  <c r="L84" i="3"/>
  <c r="O86" i="3"/>
  <c r="O85" i="3"/>
  <c r="N85" i="3"/>
  <c r="A58" i="2" s="1" a="1"/>
  <c r="A58" i="2" s="1"/>
  <c r="N84" i="3"/>
  <c r="N83" i="3"/>
  <c r="N82" i="3"/>
  <c r="N81" i="3"/>
  <c r="N80" i="3"/>
  <c r="N79" i="3"/>
  <c r="A52" i="2" s="1" a="1"/>
  <c r="A52" i="2" s="1"/>
  <c r="M79" i="3"/>
  <c r="O79" i="3" s="1"/>
  <c r="O78" i="3"/>
  <c r="B80" i="3"/>
  <c r="D80" i="3" s="1"/>
  <c r="N86" i="3"/>
  <c r="E17" i="3" l="1" a="1"/>
  <c r="E17" i="3" s="1"/>
  <c r="F17" i="3" s="1" a="1"/>
  <c r="F17" i="3" s="1"/>
  <c r="G17" i="3" s="1" a="1"/>
  <c r="G17" i="3" s="1"/>
  <c r="H17" i="3" s="1" a="1"/>
  <c r="H17" i="3" s="1"/>
  <c r="D18" i="3" s="1" a="1"/>
  <c r="D18" i="3" s="1"/>
  <c r="E18" i="3" s="1" a="1"/>
  <c r="E18" i="3" s="1"/>
  <c r="F18" i="3" s="1" a="1"/>
  <c r="F18" i="3" s="1"/>
  <c r="G18" i="3" s="1" a="1"/>
  <c r="G18" i="3" s="1"/>
  <c r="H18" i="3" s="1" a="1"/>
  <c r="H18" i="3" s="1"/>
  <c r="D19" i="3" s="1" a="1"/>
  <c r="D19" i="3" s="1"/>
  <c r="H80" i="3" a="1"/>
  <c r="H80" i="3" s="1"/>
  <c r="E80" i="3" a="1"/>
  <c r="E80" i="3" s="1"/>
  <c r="G80" i="3" a="1"/>
  <c r="G80" i="3" s="1"/>
  <c r="B40" i="3"/>
  <c r="B41" i="3" s="1"/>
  <c r="J41" i="3"/>
  <c r="J12" i="3" l="1"/>
  <c r="M83" i="3"/>
  <c r="O83" i="3" s="1"/>
  <c r="A56" i="2" s="1" a="1"/>
  <c r="A56" i="2" s="1"/>
  <c r="F80" i="3"/>
  <c r="J80" i="3" s="1"/>
  <c r="M82" i="3"/>
  <c r="O82" i="3" s="1"/>
  <c r="A55" i="2" s="1" a="1"/>
  <c r="A55" i="2" s="1"/>
  <c r="N25" i="3"/>
  <c r="I80" i="3" l="1"/>
  <c r="K80" i="3"/>
  <c r="N27" i="3"/>
  <c r="O27" i="3"/>
  <c r="F41" i="3"/>
  <c r="M70" i="3"/>
  <c r="M61" i="3"/>
  <c r="M52" i="3"/>
  <c r="M167" i="3"/>
  <c r="M166" i="3"/>
  <c r="O166" i="3" s="1"/>
  <c r="L80" i="3" l="1"/>
  <c r="M80" i="3" s="1"/>
  <c r="O80" i="3" s="1"/>
  <c r="A53" i="2" s="1" a="1"/>
  <c r="A53" i="2" s="1"/>
  <c r="M81" i="3"/>
  <c r="O81" i="3" s="1"/>
  <c r="A54" i="2" s="1" a="1"/>
  <c r="A54" i="2" s="1"/>
  <c r="A36" i="2" a="1"/>
  <c r="A36" i="2" s="1"/>
  <c r="A7" i="2"/>
  <c r="E212" i="3"/>
  <c r="L48" i="3"/>
  <c r="M84" i="3" l="1"/>
  <c r="O84" i="3" s="1"/>
  <c r="A57" i="2" s="1" a="1"/>
  <c r="A57" i="2" s="1"/>
  <c r="M78" i="3"/>
  <c r="M210" i="3"/>
  <c r="M117" i="3"/>
  <c r="O117" i="3" s="1"/>
  <c r="M116" i="3"/>
  <c r="O116" i="3" s="1"/>
  <c r="N115" i="3"/>
  <c r="O113" i="3"/>
  <c r="N113" i="3"/>
  <c r="O108" i="3"/>
  <c r="N108" i="3"/>
  <c r="O103" i="3"/>
  <c r="N103" i="3"/>
  <c r="O98" i="3"/>
  <c r="N98" i="3"/>
  <c r="O93" i="3"/>
  <c r="N92" i="3"/>
  <c r="N93" i="3"/>
  <c r="M126" i="3"/>
  <c r="O126" i="3" s="1"/>
  <c r="N125" i="3"/>
  <c r="N124" i="3"/>
  <c r="N123" i="3"/>
  <c r="N122" i="3"/>
  <c r="O120" i="3"/>
  <c r="N120" i="3"/>
  <c r="N112" i="3"/>
  <c r="M112" i="3"/>
  <c r="O112" i="3" s="1"/>
  <c r="N111" i="3"/>
  <c r="N110" i="3"/>
  <c r="O109" i="3"/>
  <c r="N109" i="3"/>
  <c r="N107" i="3"/>
  <c r="M107" i="3"/>
  <c r="O107" i="3" s="1"/>
  <c r="N106" i="3"/>
  <c r="N105" i="3"/>
  <c r="O104" i="3"/>
  <c r="N104" i="3"/>
  <c r="N102" i="3"/>
  <c r="M102" i="3"/>
  <c r="O102" i="3" s="1"/>
  <c r="N101" i="3"/>
  <c r="N100" i="3"/>
  <c r="O99" i="3"/>
  <c r="N99" i="3"/>
  <c r="N97" i="3"/>
  <c r="M97" i="3"/>
  <c r="O97" i="3" s="1"/>
  <c r="N96" i="3"/>
  <c r="N95" i="3"/>
  <c r="O94" i="3"/>
  <c r="N94" i="3"/>
  <c r="N78" i="3" l="1"/>
  <c r="A51" i="2" s="1" a="1"/>
  <c r="A51" i="2" s="1"/>
  <c r="M92" i="3"/>
  <c r="O92" i="3" s="1"/>
  <c r="N91" i="3"/>
  <c r="N90" i="3"/>
  <c r="O89" i="3"/>
  <c r="N89" i="3"/>
  <c r="M241" i="3" l="1"/>
  <c r="O241" i="3" s="1"/>
  <c r="M239" i="3"/>
  <c r="O239" i="3" s="1"/>
  <c r="M238" i="3"/>
  <c r="O238" i="3" s="1"/>
  <c r="N242" i="3"/>
  <c r="M242" i="3"/>
  <c r="O242" i="3" s="1"/>
  <c r="N241" i="3"/>
  <c r="A206" i="2" s="1" a="1"/>
  <c r="A206" i="2" s="1"/>
  <c r="N240" i="3"/>
  <c r="N239" i="3"/>
  <c r="N238" i="3"/>
  <c r="O237" i="3"/>
  <c r="M234" i="3"/>
  <c r="O234" i="3" s="1"/>
  <c r="M231" i="3"/>
  <c r="O231" i="3" s="1"/>
  <c r="N235" i="3"/>
  <c r="M235" i="3"/>
  <c r="O235" i="3" s="1"/>
  <c r="N234" i="3"/>
  <c r="N233" i="3"/>
  <c r="N232" i="3"/>
  <c r="M232" i="3"/>
  <c r="O232" i="3" s="1"/>
  <c r="N231" i="3"/>
  <c r="O230" i="3"/>
  <c r="M224" i="3"/>
  <c r="O224" i="3" s="1"/>
  <c r="N228" i="3"/>
  <c r="M228" i="3"/>
  <c r="O228" i="3" s="1"/>
  <c r="N227" i="3"/>
  <c r="N226" i="3"/>
  <c r="N225" i="3"/>
  <c r="M225" i="3"/>
  <c r="O225" i="3" s="1"/>
  <c r="N224" i="3"/>
  <c r="O223" i="3"/>
  <c r="N218" i="3"/>
  <c r="N219" i="3"/>
  <c r="N220" i="3"/>
  <c r="N221" i="3"/>
  <c r="M221" i="3"/>
  <c r="O221" i="3" s="1"/>
  <c r="M218" i="3"/>
  <c r="O218" i="3" s="1"/>
  <c r="N217" i="3"/>
  <c r="M217" i="3"/>
  <c r="O217" i="3" s="1"/>
  <c r="O216" i="3"/>
  <c r="O210" i="3"/>
  <c r="O208" i="3"/>
  <c r="N212" i="3"/>
  <c r="N210" i="3"/>
  <c r="N209" i="3"/>
  <c r="A203" i="2" l="1" a="1"/>
  <c r="A203" i="2" s="1"/>
  <c r="A177" i="2" a="1"/>
  <c r="A177" i="2" s="1"/>
  <c r="A199" i="2" a="1"/>
  <c r="A199" i="2" s="1"/>
  <c r="A204" i="2" a="1"/>
  <c r="A204" i="2" s="1"/>
  <c r="A183" i="2" a="1"/>
  <c r="A183" i="2" s="1"/>
  <c r="A193" i="2" a="1"/>
  <c r="A193" i="2" s="1"/>
  <c r="A197" i="2" a="1"/>
  <c r="A197" i="2" s="1"/>
  <c r="A189" i="2" a="1"/>
  <c r="A189" i="2" s="1"/>
  <c r="A207" i="2" a="1"/>
  <c r="A207" i="2" s="1"/>
  <c r="A190" i="2" a="1"/>
  <c r="A190" i="2" s="1"/>
  <c r="A200" i="2" a="1"/>
  <c r="A200" i="2" s="1"/>
  <c r="A196" i="2" a="1"/>
  <c r="A196" i="2" s="1"/>
  <c r="A186" i="2" a="1"/>
  <c r="A186" i="2" s="1"/>
  <c r="A182" i="2" a="1"/>
  <c r="A182" i="2" s="1"/>
  <c r="M203" i="3" l="1"/>
  <c r="O203" i="3" s="1"/>
  <c r="N205" i="3"/>
  <c r="N204" i="3"/>
  <c r="N203" i="3"/>
  <c r="O202" i="3"/>
  <c r="N195" i="3"/>
  <c r="N194" i="3"/>
  <c r="M193" i="3"/>
  <c r="O193" i="3" s="1"/>
  <c r="N193" i="3"/>
  <c r="O192" i="3"/>
  <c r="N183" i="3"/>
  <c r="M183" i="3"/>
  <c r="O183" i="3" s="1"/>
  <c r="N26" i="3"/>
  <c r="O182" i="3"/>
  <c r="N185" i="3"/>
  <c r="N184" i="3"/>
  <c r="O161" i="3"/>
  <c r="A170" i="2" l="1" a="1"/>
  <c r="A170" i="2" s="1"/>
  <c r="A160" i="2" a="1"/>
  <c r="A160" i="2" s="1"/>
  <c r="A165" i="2" a="1"/>
  <c r="A165" i="2" s="1"/>
  <c r="O176" i="3"/>
  <c r="O175" i="3"/>
  <c r="N172" i="3"/>
  <c r="N175" i="3"/>
  <c r="N177" i="3"/>
  <c r="N178" i="3"/>
  <c r="N171" i="3"/>
  <c r="O169" i="3"/>
  <c r="N169" i="3"/>
  <c r="O170" i="3"/>
  <c r="N168" i="3"/>
  <c r="O164" i="3"/>
  <c r="O156" i="3"/>
  <c r="O165" i="3"/>
  <c r="N164" i="3"/>
  <c r="O157" i="3"/>
  <c r="N156" i="3"/>
  <c r="N159" i="3"/>
  <c r="N162" i="3"/>
  <c r="N163" i="3"/>
  <c r="N158" i="3"/>
  <c r="N29" i="3"/>
  <c r="N30" i="3"/>
  <c r="N31" i="3"/>
  <c r="N32" i="3"/>
  <c r="N33" i="3"/>
  <c r="N34" i="3"/>
  <c r="N35" i="3"/>
  <c r="N36" i="3"/>
  <c r="N37" i="3"/>
  <c r="N38" i="3"/>
  <c r="N5" i="3"/>
  <c r="N6" i="3"/>
  <c r="N7" i="3"/>
  <c r="N8" i="3"/>
  <c r="N9" i="3"/>
  <c r="N10" i="3"/>
  <c r="N16" i="3"/>
  <c r="N17" i="3"/>
  <c r="N23" i="3"/>
  <c r="N24" i="3"/>
  <c r="N28" i="3"/>
  <c r="N4" i="3"/>
  <c r="N155" i="3"/>
  <c r="A19" i="2"/>
  <c r="A18" i="2"/>
  <c r="A16" i="2"/>
  <c r="A15" i="2"/>
  <c r="A14" i="2"/>
  <c r="A13" i="2"/>
  <c r="A12" i="2"/>
  <c r="A11" i="2"/>
  <c r="A10" i="2"/>
  <c r="A9" i="2"/>
  <c r="A8" i="2"/>
  <c r="O42" i="3"/>
  <c r="O51" i="3"/>
  <c r="O60" i="3"/>
  <c r="O69" i="3"/>
  <c r="O68" i="3"/>
  <c r="O50" i="3"/>
  <c r="O59" i="3"/>
  <c r="N52" i="3"/>
  <c r="N71" i="3"/>
  <c r="N72" i="3"/>
  <c r="N73" i="3"/>
  <c r="N74" i="3"/>
  <c r="N75" i="3"/>
  <c r="N76" i="3"/>
  <c r="N70" i="3"/>
  <c r="N62" i="3"/>
  <c r="N63" i="3"/>
  <c r="N64" i="3"/>
  <c r="N65" i="3"/>
  <c r="N66" i="3"/>
  <c r="N67" i="3"/>
  <c r="N68" i="3"/>
  <c r="N61" i="3"/>
  <c r="N59" i="3"/>
  <c r="N53" i="3"/>
  <c r="N54" i="3"/>
  <c r="N55" i="3"/>
  <c r="N56" i="3"/>
  <c r="N57" i="3"/>
  <c r="N58" i="3"/>
  <c r="N44" i="3"/>
  <c r="N45" i="3"/>
  <c r="N46" i="3"/>
  <c r="N47" i="3"/>
  <c r="N48" i="3"/>
  <c r="N49" i="3"/>
  <c r="N43" i="3"/>
  <c r="O49" i="3"/>
  <c r="O58" i="3"/>
  <c r="O67" i="3"/>
  <c r="O76" i="3"/>
  <c r="O70" i="3"/>
  <c r="O61" i="3"/>
  <c r="O52" i="3"/>
  <c r="M43" i="3"/>
  <c r="O43" i="3" s="1"/>
  <c r="N50" i="3" l="1"/>
  <c r="B240" i="3"/>
  <c r="I240" i="3"/>
  <c r="B205" i="3"/>
  <c r="D159" i="3"/>
  <c r="B123" i="3"/>
  <c r="F123" i="3" s="1"/>
  <c r="G123" i="3" s="1"/>
  <c r="B104" i="3"/>
  <c r="D104" i="3" s="1"/>
  <c r="E104" i="3" s="1"/>
  <c r="F104" i="3" s="1"/>
  <c r="B233" i="3"/>
  <c r="B185" i="3"/>
  <c r="B94" i="3"/>
  <c r="D94" i="3" s="1"/>
  <c r="E94" i="3" s="1"/>
  <c r="F94" i="3" s="1"/>
  <c r="B99" i="3"/>
  <c r="D99" i="3" s="1"/>
  <c r="E99" i="3" s="1"/>
  <c r="F99" i="3" s="1"/>
  <c r="B89" i="3"/>
  <c r="D89" i="3" s="1"/>
  <c r="E89" i="3" s="1"/>
  <c r="F89" i="3" s="1"/>
  <c r="B211" i="3"/>
  <c r="D209" i="3" s="1" a="1"/>
  <c r="D209" i="3" s="1"/>
  <c r="E209" i="3" s="1"/>
  <c r="M209" i="3" s="1"/>
  <c r="O209" i="3" s="1"/>
  <c r="A176" i="2" s="1" a="1"/>
  <c r="A176" i="2" s="1"/>
  <c r="B109" i="3"/>
  <c r="D109" i="3" s="1"/>
  <c r="E109" i="3" s="1"/>
  <c r="F109" i="3" s="1"/>
  <c r="G109" i="3" s="1" a="1"/>
  <c r="G109" i="3" s="1"/>
  <c r="M110" i="3" s="1"/>
  <c r="O110" i="3" s="1"/>
  <c r="B227" i="3"/>
  <c r="D227" i="3" s="1"/>
  <c r="J227" i="3" s="1"/>
  <c r="B10" i="3"/>
  <c r="J10" i="3" s="1" a="1"/>
  <c r="J10" i="3" s="1"/>
  <c r="K10" i="3" s="1"/>
  <c r="M10" i="3" s="1"/>
  <c r="B171" i="3"/>
  <c r="D171" i="3" s="1"/>
  <c r="E171" i="3" s="1"/>
  <c r="G171" i="3" s="1" a="1"/>
  <c r="G171" i="3" s="1"/>
  <c r="B226" i="3"/>
  <c r="D226" i="3" s="1"/>
  <c r="M226" i="3" s="1"/>
  <c r="O226" i="3" s="1"/>
  <c r="A191" i="2" s="1" a="1"/>
  <c r="A191" i="2" s="1"/>
  <c r="B8" i="3"/>
  <c r="B172" i="3"/>
  <c r="D172" i="3" s="1"/>
  <c r="B173" i="3"/>
  <c r="B220" i="3"/>
  <c r="D220" i="3" s="1"/>
  <c r="J220" i="3" s="1"/>
  <c r="I158" i="3"/>
  <c r="B219" i="3"/>
  <c r="B6" i="3"/>
  <c r="M6" i="3" s="1"/>
  <c r="O6" i="3" s="1"/>
  <c r="A25" i="2" s="1" a="1"/>
  <c r="A25" i="2" s="1"/>
  <c r="B25" i="3"/>
  <c r="B5" i="3"/>
  <c r="M5" i="3" s="1"/>
  <c r="O5" i="3" s="1"/>
  <c r="A24" i="2" s="1" a="1"/>
  <c r="A24" i="2" s="1"/>
  <c r="B7" i="3"/>
  <c r="M7" i="3" s="1"/>
  <c r="O7" i="3" s="1"/>
  <c r="A26" i="2" s="1" a="1"/>
  <c r="A26" i="2" s="1"/>
  <c r="B9" i="3"/>
  <c r="D9" i="3" s="1"/>
  <c r="B17" i="3"/>
  <c r="B24" i="3"/>
  <c r="B28" i="3"/>
  <c r="M28" i="3" s="1"/>
  <c r="O28" i="3" s="1"/>
  <c r="A37" i="2" s="1" a="1"/>
  <c r="A37" i="2" s="1"/>
  <c r="I205" i="3"/>
  <c r="B195" i="3"/>
  <c r="B241" i="3"/>
  <c r="D241" i="3" s="1"/>
  <c r="J241" i="3" s="1"/>
  <c r="D163" i="3"/>
  <c r="G163" i="3" s="1" a="1"/>
  <c r="G163" i="3" s="1"/>
  <c r="D158" i="3"/>
  <c r="G158" i="3" s="1"/>
  <c r="H158" i="3" s="1"/>
  <c r="B176" i="3"/>
  <c r="I25" i="3"/>
  <c r="B234" i="3"/>
  <c r="H41" i="3"/>
  <c r="B42" i="3" s="1" a="1"/>
  <c r="B42" i="3" s="1"/>
  <c r="B43" i="3" s="1"/>
  <c r="B44" i="3" s="1"/>
  <c r="I173" i="3"/>
  <c r="B216" i="3"/>
  <c r="D162" i="3"/>
  <c r="B209" i="3"/>
  <c r="I185" i="3"/>
  <c r="I195" i="3"/>
  <c r="B178" i="3"/>
  <c r="D178" i="3" s="1"/>
  <c r="I233" i="3"/>
  <c r="B4" i="3"/>
  <c r="M4" i="3" s="1"/>
  <c r="O4" i="3" s="1"/>
  <c r="A23" i="2" s="1" a="1"/>
  <c r="A23" i="2" s="1"/>
  <c r="B23" i="3"/>
  <c r="M23" i="3" s="1"/>
  <c r="O23" i="3" s="1"/>
  <c r="A32" i="2" s="1" a="1"/>
  <c r="A32" i="2" s="1"/>
  <c r="I162" i="3"/>
  <c r="B177" i="3"/>
  <c r="D177" i="3" s="1"/>
  <c r="B228" i="3"/>
  <c r="D228" i="3" s="1"/>
  <c r="M227" i="3" s="1"/>
  <c r="O227" i="3" s="1"/>
  <c r="A192" i="2" s="1" a="1"/>
  <c r="A192" i="2" s="1"/>
  <c r="B3" i="3"/>
  <c r="M3" i="3" s="1"/>
  <c r="M32" i="3" l="1"/>
  <c r="O32" i="3" s="1"/>
  <c r="A41" i="2" s="1" a="1"/>
  <c r="A41" i="2" s="1"/>
  <c r="N3" i="3"/>
  <c r="D185" i="3" a="1"/>
  <c r="D185" i="3" s="1"/>
  <c r="E185" i="3" s="1" a="1"/>
  <c r="E185" i="3" s="1"/>
  <c r="E19" i="3" a="1"/>
  <c r="E19" i="3" s="1"/>
  <c r="F19" i="3" s="1" a="1"/>
  <c r="F19" i="3" s="1"/>
  <c r="G19" i="3" s="1" a="1"/>
  <c r="G19" i="3" s="1"/>
  <c r="H19" i="3" s="1" a="1"/>
  <c r="H19" i="3" s="1"/>
  <c r="D20" i="3" s="1" a="1"/>
  <c r="D20" i="3" s="1"/>
  <c r="E20" i="3" s="1" a="1"/>
  <c r="E20" i="3" s="1"/>
  <c r="F20" i="3" s="1" a="1"/>
  <c r="F20" i="3" s="1"/>
  <c r="G20" i="3" s="1" a="1"/>
  <c r="G20" i="3" s="1"/>
  <c r="H20" i="3" s="1" a="1"/>
  <c r="H20" i="3" s="1"/>
  <c r="D21" i="3" s="1" a="1"/>
  <c r="D21" i="3" s="1"/>
  <c r="E21" i="3" s="1" a="1"/>
  <c r="E21" i="3" s="1"/>
  <c r="F21" i="3" s="1" a="1"/>
  <c r="F21" i="3" s="1"/>
  <c r="G21" i="3" s="1" a="1"/>
  <c r="G21" i="3" s="1"/>
  <c r="H21" i="3" s="1" a="1"/>
  <c r="H21" i="3" s="1"/>
  <c r="D22" i="3" s="1" a="1"/>
  <c r="D22" i="3" s="1"/>
  <c r="E22" i="3" s="1" a="1"/>
  <c r="E22" i="3" s="1"/>
  <c r="F22" i="3" s="1" a="1"/>
  <c r="F22" i="3" s="1"/>
  <c r="G22" i="3" s="1" a="1"/>
  <c r="G22" i="3" s="1"/>
  <c r="H22" i="3" s="1" a="1"/>
  <c r="H22" i="3" s="1"/>
  <c r="D240" i="3" a="1"/>
  <c r="D240" i="3" s="1"/>
  <c r="E240" i="3" s="1" a="1"/>
  <c r="E240" i="3" s="1"/>
  <c r="F240" i="3" s="1" a="1"/>
  <c r="F240" i="3" s="1"/>
  <c r="G240" i="3" s="1" a="1"/>
  <c r="G240" i="3" s="1"/>
  <c r="H240" i="3" s="1" a="1"/>
  <c r="H240" i="3" s="1"/>
  <c r="D233" i="3" a="1"/>
  <c r="D233" i="3" s="1"/>
  <c r="E233" i="3" s="1" a="1"/>
  <c r="E233" i="3" s="1"/>
  <c r="F233" i="3" s="1"/>
  <c r="G233" i="3" s="1"/>
  <c r="D195" i="3" a="1"/>
  <c r="D195" i="3" s="1"/>
  <c r="E159" i="3" a="1"/>
  <c r="E159" i="3" s="1"/>
  <c r="F159" i="3" s="1" a="1"/>
  <c r="F159" i="3" s="1"/>
  <c r="D205" i="3" a="1"/>
  <c r="D205" i="3" s="1"/>
  <c r="E205" i="3" s="1" a="1"/>
  <c r="E205" i="3" s="1"/>
  <c r="F205" i="3" s="1" a="1"/>
  <c r="F205" i="3" s="1"/>
  <c r="G205" i="3" s="1" a="1"/>
  <c r="G205" i="3" s="1"/>
  <c r="H205" i="3" s="1" a="1"/>
  <c r="H205" i="3" s="1"/>
  <c r="M96" i="3"/>
  <c r="O96" i="3" s="1"/>
  <c r="G94" i="3" a="1"/>
  <c r="G94" i="3" s="1"/>
  <c r="M95" i="3" s="1"/>
  <c r="O95" i="3" s="1"/>
  <c r="E208" i="3"/>
  <c r="E163" i="3" a="1"/>
  <c r="E163" i="3" s="1"/>
  <c r="E162" i="3" a="1"/>
  <c r="E162" i="3" s="1"/>
  <c r="F162" i="3" s="1" a="1"/>
  <c r="F162" i="3" s="1"/>
  <c r="H163" i="3"/>
  <c r="D24" i="3" a="1"/>
  <c r="D24" i="3" s="1"/>
  <c r="E24" i="3" a="1"/>
  <c r="E24" i="3" s="1"/>
  <c r="E172" i="3"/>
  <c r="G172" i="3" s="1" a="1"/>
  <c r="G172" i="3" s="1"/>
  <c r="M230" i="3"/>
  <c r="N230" i="3" s="1"/>
  <c r="A195" i="2" s="1" a="1"/>
  <c r="A195" i="2" s="1"/>
  <c r="M38" i="3"/>
  <c r="O38" i="3" s="1"/>
  <c r="A47" i="2" s="1" a="1"/>
  <c r="A47" i="2" s="1"/>
  <c r="M223" i="3"/>
  <c r="N223" i="3" s="1"/>
  <c r="A188" i="2" s="1" a="1"/>
  <c r="A188" i="2" s="1"/>
  <c r="M161" i="3"/>
  <c r="N161" i="3" s="1"/>
  <c r="A141" i="2" s="1" a="1"/>
  <c r="A141" i="2" s="1"/>
  <c r="M237" i="3"/>
  <c r="N237" i="3" s="1"/>
  <c r="A202" i="2" s="1" a="1"/>
  <c r="A202" i="2" s="1"/>
  <c r="M33" i="3"/>
  <c r="O33" i="3" s="1"/>
  <c r="A42" i="2" s="1" a="1"/>
  <c r="A42" i="2" s="1"/>
  <c r="M216" i="3"/>
  <c r="N216" i="3" s="1"/>
  <c r="A181" i="2" s="1" a="1"/>
  <c r="A181" i="2" s="1"/>
  <c r="M35" i="3"/>
  <c r="O35" i="3" s="1"/>
  <c r="A44" i="2" s="1" a="1"/>
  <c r="A44" i="2" s="1"/>
  <c r="M154" i="3"/>
  <c r="N154" i="3" s="1"/>
  <c r="A132" i="2" s="1"/>
  <c r="M34" i="3"/>
  <c r="O34" i="3" s="1"/>
  <c r="A43" i="2" s="1" a="1"/>
  <c r="A43" i="2" s="1"/>
  <c r="M29" i="3"/>
  <c r="M165" i="3"/>
  <c r="N165" i="3" s="1"/>
  <c r="A145" i="2" s="1" a="1"/>
  <c r="A145" i="2" s="1"/>
  <c r="M170" i="3"/>
  <c r="N170" i="3" s="1"/>
  <c r="A150" i="2" s="1" a="1"/>
  <c r="A150" i="2" s="1"/>
  <c r="M36" i="3"/>
  <c r="O36" i="3" s="1"/>
  <c r="A45" i="2" s="1" a="1"/>
  <c r="A45" i="2" s="1"/>
  <c r="M192" i="3"/>
  <c r="M37" i="3"/>
  <c r="O37" i="3" s="1"/>
  <c r="A46" i="2" s="1" a="1"/>
  <c r="A46" i="2" s="1"/>
  <c r="G104" i="3" a="1"/>
  <c r="G104" i="3" s="1"/>
  <c r="M105" i="3" s="1"/>
  <c r="O105" i="3" s="1"/>
  <c r="M106" i="3"/>
  <c r="O106" i="3" s="1"/>
  <c r="M176" i="3"/>
  <c r="N176" i="3" s="1"/>
  <c r="A154" i="2" s="1" a="1"/>
  <c r="A154" i="2" s="1"/>
  <c r="E9" i="3" a="1"/>
  <c r="E9" i="3" s="1"/>
  <c r="M155" i="3"/>
  <c r="O155" i="3" s="1"/>
  <c r="A135" i="2" s="1" a="1"/>
  <c r="A135" i="2" s="1"/>
  <c r="D219" i="3"/>
  <c r="J219" i="3" a="1"/>
  <c r="J219" i="3" s="1"/>
  <c r="G219" i="3" s="1"/>
  <c r="A22" i="2"/>
  <c r="M208" i="3"/>
  <c r="M31" i="3"/>
  <c r="O31" i="3" s="1"/>
  <c r="A40" i="2" s="1" a="1"/>
  <c r="A40" i="2" s="1"/>
  <c r="E178" i="3"/>
  <c r="G178" i="3" s="1" a="1"/>
  <c r="G178" i="3" s="1"/>
  <c r="M182" i="3"/>
  <c r="E177" i="3"/>
  <c r="G177" i="3" s="1" a="1"/>
  <c r="G177" i="3" s="1"/>
  <c r="M157" i="3"/>
  <c r="N157" i="3" s="1"/>
  <c r="A137" i="2" s="1" a="1"/>
  <c r="A137" i="2" s="1"/>
  <c r="M202" i="3"/>
  <c r="M30" i="3"/>
  <c r="O30" i="3" s="1"/>
  <c r="A39" i="2" s="1" a="1"/>
  <c r="A39" i="2" s="1"/>
  <c r="H9" i="3" a="1"/>
  <c r="H9" i="3" s="1"/>
  <c r="M168" i="3"/>
  <c r="O168" i="3" s="1"/>
  <c r="A148" i="2" s="1" a="1"/>
  <c r="A148" i="2" s="1"/>
  <c r="G89" i="3" a="1"/>
  <c r="G89" i="3" s="1"/>
  <c r="M90" i="3" s="1"/>
  <c r="O90" i="3" s="1"/>
  <c r="M91" i="3"/>
  <c r="O91" i="3" s="1"/>
  <c r="G9" i="3" a="1"/>
  <c r="G9" i="3" s="1"/>
  <c r="M101" i="3"/>
  <c r="O101" i="3" s="1"/>
  <c r="G99" i="3" a="1"/>
  <c r="G99" i="3" s="1"/>
  <c r="M100" i="3" s="1"/>
  <c r="O100" i="3" s="1"/>
  <c r="I123" i="3" a="1"/>
  <c r="I123" i="3" s="1"/>
  <c r="M125" i="3" s="1"/>
  <c r="O125" i="3" s="1"/>
  <c r="D25" i="3" a="1"/>
  <c r="D25" i="3" s="1"/>
  <c r="E25" i="3" s="1" a="1"/>
  <c r="E25" i="3" s="1"/>
  <c r="F25" i="3" s="1" a="1"/>
  <c r="F25" i="3" s="1"/>
  <c r="G25" i="3" s="1" a="1"/>
  <c r="G25" i="3" s="1"/>
  <c r="H25" i="3" s="1" a="1"/>
  <c r="H25" i="3" s="1"/>
  <c r="D26" i="3" s="1" a="1"/>
  <c r="D26" i="3" s="1"/>
  <c r="E26" i="3" s="1" a="1"/>
  <c r="E26" i="3" s="1"/>
  <c r="F26" i="3" s="1" a="1"/>
  <c r="F26" i="3" s="1"/>
  <c r="G26" i="3" s="1" a="1"/>
  <c r="G26" i="3" s="1"/>
  <c r="H26" i="3" s="1" a="1"/>
  <c r="H26" i="3" s="1"/>
  <c r="J8" i="3" a="1"/>
  <c r="J8" i="3" s="1"/>
  <c r="D8" i="3" s="1"/>
  <c r="F171" i="3"/>
  <c r="H171" i="3" s="1" a="1"/>
  <c r="H171" i="3" s="1"/>
  <c r="M111" i="3"/>
  <c r="O111" i="3" s="1"/>
  <c r="D211" i="3" a="1"/>
  <c r="D211" i="3" s="1"/>
  <c r="E211" i="3" s="1"/>
  <c r="D123" i="3"/>
  <c r="E123" i="3" s="1"/>
  <c r="M123" i="3" s="1"/>
  <c r="O123" i="3" s="1"/>
  <c r="G159" i="3" a="1"/>
  <c r="G159" i="3" s="1"/>
  <c r="H159" i="3" s="1"/>
  <c r="E158" i="3" a="1"/>
  <c r="E158" i="3" s="1"/>
  <c r="D173" i="3" a="1"/>
  <c r="D173" i="3" s="1"/>
  <c r="O29" i="3" l="1"/>
  <c r="A38" i="2" s="1" a="1"/>
  <c r="A38" i="2" s="1"/>
  <c r="K17" i="3" a="1"/>
  <c r="K17" i="3" s="1"/>
  <c r="M17" i="3" s="1"/>
  <c r="O17" i="3" s="1"/>
  <c r="A31" i="2" s="1" a="1"/>
  <c r="A31" i="2" s="1"/>
  <c r="F185" i="3" a="1"/>
  <c r="F185" i="3" s="1"/>
  <c r="G185" i="3" s="1" a="1"/>
  <c r="G185" i="3" s="1"/>
  <c r="H185" i="3" s="1" a="1"/>
  <c r="H185" i="3" s="1"/>
  <c r="D186" i="3" s="1" a="1"/>
  <c r="D186" i="3" s="1"/>
  <c r="E186" i="3" s="1" a="1"/>
  <c r="E186" i="3" s="1"/>
  <c r="F186" i="3" s="1" a="1"/>
  <c r="F186" i="3" s="1"/>
  <c r="G186" i="3" s="1" a="1"/>
  <c r="G186" i="3" s="1"/>
  <c r="H186" i="3" s="1" a="1"/>
  <c r="H186" i="3" s="1"/>
  <c r="D187" i="3" s="1" a="1"/>
  <c r="D187" i="3" s="1"/>
  <c r="E187" i="3" s="1" a="1"/>
  <c r="E187" i="3" s="1"/>
  <c r="F187" i="3" s="1" a="1"/>
  <c r="F187" i="3" s="1"/>
  <c r="G187" i="3" s="1" a="1"/>
  <c r="G187" i="3" s="1"/>
  <c r="H187" i="3" s="1" a="1"/>
  <c r="H187" i="3" s="1"/>
  <c r="D188" i="3" s="1" a="1"/>
  <c r="D188" i="3" s="1"/>
  <c r="E188" i="3" s="1" a="1"/>
  <c r="E188" i="3" s="1"/>
  <c r="F188" i="3" s="1" a="1"/>
  <c r="F188" i="3" s="1"/>
  <c r="G188" i="3" s="1" a="1"/>
  <c r="G188" i="3" s="1"/>
  <c r="H188" i="3" s="1" a="1"/>
  <c r="H188" i="3" s="1"/>
  <c r="D189" i="3" s="1" a="1"/>
  <c r="D189" i="3" s="1"/>
  <c r="E189" i="3" s="1" a="1"/>
  <c r="E189" i="3" s="1"/>
  <c r="F189" i="3" s="1" a="1"/>
  <c r="F189" i="3" s="1"/>
  <c r="G189" i="3" s="1" a="1"/>
  <c r="G189" i="3" s="1"/>
  <c r="H189" i="3" s="1" a="1"/>
  <c r="H189" i="3" s="1"/>
  <c r="D190" i="3" s="1" a="1"/>
  <c r="D190" i="3" s="1"/>
  <c r="E190" i="3" s="1" a="1"/>
  <c r="E190" i="3" s="1"/>
  <c r="F190" i="3" s="1" a="1"/>
  <c r="F190" i="3" s="1"/>
  <c r="G190" i="3" s="1" a="1"/>
  <c r="G190" i="3" s="1"/>
  <c r="H190" i="3" s="1" a="1"/>
  <c r="H190" i="3" s="1"/>
  <c r="M240" i="3" a="1"/>
  <c r="M240" i="3" s="1"/>
  <c r="M16" i="3"/>
  <c r="O16" i="3" s="1"/>
  <c r="A30" i="2" s="1" a="1"/>
  <c r="A30" i="2" s="1"/>
  <c r="L233" i="3"/>
  <c r="M233" i="3" s="1"/>
  <c r="O233" i="3" s="1"/>
  <c r="A198" i="2" s="1" a="1"/>
  <c r="A198" i="2" s="1"/>
  <c r="E195" i="3" a="1"/>
  <c r="E195" i="3" s="1"/>
  <c r="F195" i="3" s="1" a="1"/>
  <c r="F195" i="3" s="1"/>
  <c r="G195" i="3" s="1" a="1"/>
  <c r="G195" i="3" s="1"/>
  <c r="H195" i="3" s="1" a="1"/>
  <c r="H195" i="3" s="1"/>
  <c r="D196" i="3" s="1" a="1"/>
  <c r="D196" i="3" s="1"/>
  <c r="E196" i="3" s="1" a="1"/>
  <c r="E196" i="3" s="1"/>
  <c r="F196" i="3" s="1" a="1"/>
  <c r="F196" i="3" s="1"/>
  <c r="G196" i="3" s="1" a="1"/>
  <c r="G196" i="3" s="1"/>
  <c r="H196" i="3" s="1" a="1"/>
  <c r="H196" i="3" s="1"/>
  <c r="D197" i="3" s="1" a="1"/>
  <c r="D197" i="3" s="1"/>
  <c r="E197" i="3" s="1" a="1"/>
  <c r="E197" i="3" s="1"/>
  <c r="F197" i="3" s="1" a="1"/>
  <c r="F197" i="3" s="1"/>
  <c r="G197" i="3" s="1" a="1"/>
  <c r="G197" i="3" s="1"/>
  <c r="H197" i="3" s="1" a="1"/>
  <c r="H197" i="3" s="1"/>
  <c r="D198" i="3" s="1" a="1"/>
  <c r="D198" i="3" s="1"/>
  <c r="E198" i="3" s="1" a="1"/>
  <c r="E198" i="3" s="1"/>
  <c r="F198" i="3" s="1" a="1"/>
  <c r="F198" i="3" s="1"/>
  <c r="G198" i="3" s="1" a="1"/>
  <c r="G198" i="3" s="1"/>
  <c r="H198" i="3" s="1" a="1"/>
  <c r="H198" i="3" s="1"/>
  <c r="D199" i="3" s="1" a="1"/>
  <c r="D199" i="3" s="1"/>
  <c r="E199" i="3" s="1" a="1"/>
  <c r="E199" i="3" s="1"/>
  <c r="F199" i="3" s="1" a="1"/>
  <c r="F199" i="3" s="1"/>
  <c r="G199" i="3" s="1" a="1"/>
  <c r="G199" i="3" s="1"/>
  <c r="H199" i="3" s="1" a="1"/>
  <c r="H199" i="3" s="1"/>
  <c r="D200" i="3" s="1" a="1"/>
  <c r="D200" i="3" s="1"/>
  <c r="E200" i="3" s="1" a="1"/>
  <c r="E200" i="3" s="1"/>
  <c r="F200" i="3" s="1" a="1"/>
  <c r="F200" i="3" s="1"/>
  <c r="G200" i="3" s="1" a="1"/>
  <c r="G200" i="3" s="1"/>
  <c r="H200" i="3" s="1" a="1"/>
  <c r="H200" i="3" s="1"/>
  <c r="L163" i="3"/>
  <c r="M163" i="3" s="1"/>
  <c r="O163" i="3" s="1"/>
  <c r="A143" i="2" s="1" a="1"/>
  <c r="A143" i="2" s="1"/>
  <c r="F163" i="3" a="1"/>
  <c r="F163" i="3" s="1"/>
  <c r="F172" i="3"/>
  <c r="H172" i="3" s="1" a="1"/>
  <c r="H172" i="3" s="1"/>
  <c r="M171" i="3" s="1"/>
  <c r="L159" i="3"/>
  <c r="M159" i="3" s="1"/>
  <c r="O159" i="3" s="1"/>
  <c r="A139" i="2" s="1" a="1"/>
  <c r="A139" i="2" s="1"/>
  <c r="E173" i="3" a="1"/>
  <c r="E173" i="3" s="1"/>
  <c r="F173" i="3" s="1" a="1"/>
  <c r="F173" i="3" s="1"/>
  <c r="G173" i="3" s="1" a="1"/>
  <c r="G173" i="3" s="1"/>
  <c r="H173" i="3" s="1" a="1"/>
  <c r="H173" i="3" s="1"/>
  <c r="D174" i="3" s="1" a="1"/>
  <c r="D174" i="3" s="1"/>
  <c r="E174" i="3" s="1" a="1"/>
  <c r="E174" i="3" s="1"/>
  <c r="F174" i="3" s="1" a="1"/>
  <c r="F174" i="3" s="1"/>
  <c r="G174" i="3" s="1" a="1"/>
  <c r="G174" i="3" s="1"/>
  <c r="H174" i="3" s="1" a="1"/>
  <c r="H174" i="3" s="1"/>
  <c r="H123" i="3"/>
  <c r="M124" i="3" s="1"/>
  <c r="O124" i="3" s="1"/>
  <c r="N208" i="3"/>
  <c r="A175" i="2" s="1" a="1"/>
  <c r="A175" i="2" s="1"/>
  <c r="M205" i="3" a="1"/>
  <c r="M205" i="3" s="1"/>
  <c r="O205" i="3" s="1"/>
  <c r="A172" i="2" s="1" a="1"/>
  <c r="A172" i="2" s="1"/>
  <c r="F177" i="3"/>
  <c r="H177" i="3" s="1" a="1"/>
  <c r="H177" i="3" s="1"/>
  <c r="G162" i="3"/>
  <c r="H162" i="3" s="1"/>
  <c r="L162" i="3" s="1"/>
  <c r="M162" i="3" s="1"/>
  <c r="O162" i="3" s="1"/>
  <c r="A142" i="2" s="1" a="1"/>
  <c r="A142" i="2" s="1"/>
  <c r="F178" i="3"/>
  <c r="H178" i="3" s="1" a="1"/>
  <c r="H178" i="3" s="1"/>
  <c r="F9" i="3"/>
  <c r="J9" i="3" s="1"/>
  <c r="M24" i="3"/>
  <c r="O24" i="3" s="1"/>
  <c r="A34" i="2" s="1" a="1"/>
  <c r="A34" i="2" s="1"/>
  <c r="I8" i="3" a="1"/>
  <c r="I8" i="3" s="1"/>
  <c r="H8" i="3" s="1"/>
  <c r="L8" i="3" s="1"/>
  <c r="M8" i="3" s="1"/>
  <c r="O8" i="3" s="1"/>
  <c r="A27" i="2" s="1" a="1"/>
  <c r="A27" i="2" s="1"/>
  <c r="F158" i="3" a="1"/>
  <c r="F158" i="3" s="1"/>
  <c r="L158" i="3"/>
  <c r="K25" i="3" a="1"/>
  <c r="K25" i="3" s="1"/>
  <c r="M25" i="3" s="1"/>
  <c r="O25" i="3" s="1"/>
  <c r="A35" i="2" s="1" a="1"/>
  <c r="A35" i="2" s="1"/>
  <c r="A97" i="2" a="1"/>
  <c r="A97" i="2" s="1"/>
  <c r="M211" i="3"/>
  <c r="O211" i="3" s="1"/>
  <c r="D44" i="3"/>
  <c r="D62" i="3"/>
  <c r="D71" i="3"/>
  <c r="D53" i="3"/>
  <c r="N192" i="3"/>
  <c r="A164" i="2" s="1" a="1"/>
  <c r="A164" i="2" s="1"/>
  <c r="M194" i="3"/>
  <c r="O194" i="3" s="1"/>
  <c r="A166" i="2" s="1" a="1"/>
  <c r="A166" i="2" s="1"/>
  <c r="N182" i="3"/>
  <c r="A159" i="2" s="1" a="1"/>
  <c r="A159" i="2" s="1"/>
  <c r="M184" i="3"/>
  <c r="O184" i="3" s="1"/>
  <c r="A161" i="2" s="1" a="1"/>
  <c r="A161" i="2" s="1"/>
  <c r="N202" i="3"/>
  <c r="A169" i="2" s="1" a="1"/>
  <c r="A169" i="2" s="1"/>
  <c r="M204" i="3"/>
  <c r="O204" i="3" s="1"/>
  <c r="A171" i="2" s="1" a="1"/>
  <c r="A171" i="2" s="1"/>
  <c r="I219" i="3" a="1"/>
  <c r="I219" i="3" s="1"/>
  <c r="H219" i="3" s="1"/>
  <c r="E219" i="3" s="1"/>
  <c r="O240" i="3" l="1"/>
  <c r="A205" i="2" s="1" a="1"/>
  <c r="A205" i="2" s="1"/>
  <c r="K195" i="3" a="1"/>
  <c r="K195" i="3" s="1"/>
  <c r="M195" i="3" s="1"/>
  <c r="O195" i="3" s="1"/>
  <c r="K185" i="3" a="1"/>
  <c r="K185" i="3" s="1"/>
  <c r="M185" i="3" s="1"/>
  <c r="M158" i="3"/>
  <c r="O158" i="3" s="1"/>
  <c r="A138" i="2" s="1" a="1"/>
  <c r="A138" i="2" s="1"/>
  <c r="M172" i="3"/>
  <c r="M178" i="3"/>
  <c r="O178" i="3" s="1"/>
  <c r="M177" i="3"/>
  <c r="O177" i="3" s="1"/>
  <c r="A155" i="2" s="1" a="1"/>
  <c r="A155" i="2" s="1"/>
  <c r="O10" i="3"/>
  <c r="A29" i="2" s="1" a="1"/>
  <c r="A29" i="2" s="1"/>
  <c r="O171" i="3"/>
  <c r="A151" i="2" s="1" a="1"/>
  <c r="A151" i="2" s="1"/>
  <c r="A156" i="2" a="1"/>
  <c r="A156" i="2" s="1"/>
  <c r="I9" i="3"/>
  <c r="I171" i="3"/>
  <c r="M220" i="3"/>
  <c r="O220" i="3" s="1"/>
  <c r="A185" i="2" s="1" a="1"/>
  <c r="A185" i="2" s="1"/>
  <c r="M219" i="3"/>
  <c r="O219" i="3" s="1"/>
  <c r="A184" i="2" s="1" a="1"/>
  <c r="A184" i="2" s="1"/>
  <c r="K9" i="3"/>
  <c r="L9" i="3" s="1"/>
  <c r="M9" i="3" s="1"/>
  <c r="O9" i="3" s="1"/>
  <c r="A28" i="2" s="1" a="1"/>
  <c r="A28" i="2" s="1"/>
  <c r="E53" i="3" a="1"/>
  <c r="E53" i="3" s="1"/>
  <c r="M55" i="3" s="1"/>
  <c r="O55" i="3" s="1"/>
  <c r="G53" i="3" a="1"/>
  <c r="G53" i="3" s="1"/>
  <c r="H53" i="3" a="1"/>
  <c r="H53" i="3" s="1"/>
  <c r="G71" i="3" a="1"/>
  <c r="G71" i="3" s="1"/>
  <c r="E71" i="3" a="1"/>
  <c r="E71" i="3" s="1"/>
  <c r="M73" i="3" s="1"/>
  <c r="O73" i="3" s="1"/>
  <c r="H71" i="3" a="1"/>
  <c r="H71" i="3" s="1"/>
  <c r="H62" i="3" a="1"/>
  <c r="H62" i="3" s="1"/>
  <c r="G62" i="3" a="1"/>
  <c r="G62" i="3" s="1"/>
  <c r="E62" i="3" a="1"/>
  <c r="E62" i="3" s="1"/>
  <c r="M64" i="3" s="1"/>
  <c r="O64" i="3" s="1"/>
  <c r="G44" i="3" a="1"/>
  <c r="G44" i="3" s="1"/>
  <c r="E44" i="3" a="1"/>
  <c r="E44" i="3" s="1"/>
  <c r="M46" i="3" s="1"/>
  <c r="O46" i="3" s="1"/>
  <c r="H44" i="3" a="1"/>
  <c r="H44" i="3" s="1"/>
  <c r="O172" i="3" l="1"/>
  <c r="A152" i="2" s="1" a="1"/>
  <c r="A152" i="2" s="1"/>
  <c r="O185" i="3"/>
  <c r="A162" i="2" s="1" a="1"/>
  <c r="A162" i="2" s="1"/>
  <c r="F71" i="3"/>
  <c r="I71" i="3" s="1"/>
  <c r="M74" i="3"/>
  <c r="O74" i="3" s="1"/>
  <c r="M56" i="3"/>
  <c r="O56" i="3" s="1"/>
  <c r="F44" i="3"/>
  <c r="M65" i="3"/>
  <c r="O65" i="3" s="1"/>
  <c r="M47" i="3"/>
  <c r="O47" i="3" s="1"/>
  <c r="F62" i="3"/>
  <c r="F53" i="3"/>
  <c r="A167" i="2" l="1" a="1"/>
  <c r="A167" i="2" s="1"/>
  <c r="J71" i="3"/>
  <c r="K71" i="3" s="1"/>
  <c r="I53" i="3"/>
  <c r="J53" i="3"/>
  <c r="J44" i="3"/>
  <c r="I44" i="3"/>
  <c r="I62" i="3"/>
  <c r="J62" i="3"/>
  <c r="K62" i="3" l="1"/>
  <c r="K44" i="3"/>
  <c r="L44" i="3" s="1"/>
  <c r="K53" i="3"/>
  <c r="M72" i="3"/>
  <c r="O72" i="3" s="1"/>
  <c r="L71" i="3"/>
  <c r="M71" i="3" s="1"/>
  <c r="O71" i="3" s="1"/>
  <c r="M48" i="3" l="1"/>
  <c r="O48" i="3" s="1"/>
  <c r="M42" i="3"/>
  <c r="N42" i="3" s="1"/>
  <c r="M45" i="3"/>
  <c r="O45" i="3" s="1"/>
  <c r="M44" i="3"/>
  <c r="O44" i="3" s="1"/>
  <c r="M63" i="3"/>
  <c r="O63" i="3" s="1"/>
  <c r="M54" i="3"/>
  <c r="O54" i="3" s="1"/>
  <c r="M69" i="3"/>
  <c r="N69" i="3" s="1"/>
  <c r="M75" i="3"/>
  <c r="O75" i="3" s="1"/>
  <c r="L53" i="3"/>
  <c r="L62" i="3"/>
  <c r="M62" i="3" s="1"/>
  <c r="O62" i="3" s="1"/>
  <c r="M60" i="3" l="1"/>
  <c r="N60" i="3" s="1"/>
  <c r="M66" i="3"/>
  <c r="O66" i="3" s="1"/>
  <c r="M51" i="3"/>
  <c r="N51" i="3" s="1"/>
  <c r="M57" i="3"/>
  <c r="O57" i="3" s="1"/>
  <c r="M53" i="3"/>
  <c r="O53" i="3" s="1"/>
  <c r="M212" i="3" l="1"/>
  <c r="O212" i="3" s="1"/>
  <c r="A178" i="2" s="1" a="1"/>
  <c r="A178" i="2" s="1"/>
  <c r="D212" i="3"/>
  <c r="A60" i="2" a="1"/>
  <c r="A60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<sst xmlns="http://schemas.openxmlformats.org/spreadsheetml/2006/main" count="634" uniqueCount="326">
  <si>
    <t>Modul-Kurzkennzeichen:</t>
  </si>
  <si>
    <t>Modulbezeichnung:</t>
  </si>
  <si>
    <t>Algorithmen und Datenstrukturen</t>
  </si>
  <si>
    <t>ggf. Aufteilung in Lehrveranstaltungen:</t>
  </si>
  <si>
    <t>Zuordnung zum Curriculum:</t>
  </si>
  <si>
    <t>Verwendbarkeit des Moduls:</t>
  </si>
  <si>
    <t>Autor/in:</t>
  </si>
  <si>
    <t>Dozent/in:</t>
  </si>
  <si>
    <t>Lehrsprache:</t>
  </si>
  <si>
    <t>Voraussetzungen:</t>
  </si>
  <si>
    <t>ECTS-Credits:</t>
  </si>
  <si>
    <t>Lehrform/SWS:</t>
  </si>
  <si>
    <t>Studien-/ Prüfungsleistungen:</t>
  </si>
  <si>
    <t>Gewichtung der Note in der Gesamtnote:</t>
  </si>
  <si>
    <t>Lernergebnisse:</t>
  </si>
  <si>
    <t>Inhalte:</t>
  </si>
  <si>
    <t>Lehr- und Lernmethoden:</t>
  </si>
  <si>
    <t>Literatur:</t>
  </si>
  <si>
    <t>Besonderes:</t>
  </si>
  <si>
    <t>"</t>
  </si>
  <si>
    <t>module:</t>
  </si>
  <si>
    <t xml:space="preserve">rdfs:label </t>
  </si>
  <si>
    <t xml:space="preserve">schema:name </t>
  </si>
  <si>
    <t xml:space="preserve">schema:courseCode </t>
  </si>
  <si>
    <t xml:space="preserve">schema:inLanguage </t>
  </si>
  <si>
    <t xml:space="preserve">schema:interactivityType </t>
  </si>
  <si>
    <t>Prof.</t>
  </si>
  <si>
    <t xml:space="preserve">Dr. </t>
  </si>
  <si>
    <t>Dr. Dr.</t>
  </si>
  <si>
    <t>Dipl.-Kfm.</t>
  </si>
  <si>
    <t>Prof. Dr.</t>
  </si>
  <si>
    <t>Dipl.</t>
  </si>
  <si>
    <t>M.Sc.</t>
  </si>
  <si>
    <t>Dr.-Ing</t>
  </si>
  <si>
    <t>Prof. Dr.-Ing.</t>
  </si>
  <si>
    <t xml:space="preserve">schema:comment </t>
  </si>
  <si>
    <t xml:space="preserve">schema:timeRequired </t>
  </si>
  <si>
    <t xml:space="preserve">schema:educationalUse </t>
  </si>
  <si>
    <t xml:space="preserve">schema:educationalCredentialAwarded </t>
  </si>
  <si>
    <t>## for accountable Persons &amp; instructors (identification via Web-Site and/or ORCID)</t>
  </si>
  <si>
    <t>Extract</t>
  </si>
  <si>
    <t>Note</t>
  </si>
  <si>
    <t>Processing</t>
  </si>
  <si>
    <t>Basis</t>
  </si>
  <si>
    <t>Processed</t>
  </si>
  <si>
    <t>Fixed</t>
  </si>
  <si>
    <t>Comment</t>
  </si>
  <si>
    <t>KEY:</t>
  </si>
  <si>
    <t>##main template</t>
  </si>
  <si>
    <t>## main template</t>
  </si>
  <si>
    <t>Finder</t>
  </si>
  <si>
    <t xml:space="preserve">schema:givenName </t>
  </si>
  <si>
    <t xml:space="preserve">schema:familyName </t>
  </si>
  <si>
    <t xml:space="preserve">schema:honorificPrefix </t>
  </si>
  <si>
    <t xml:space="preserve">schema:honorificSuffix </t>
  </si>
  <si>
    <t xml:space="preserve">schema:email </t>
  </si>
  <si>
    <t>## for accountable Persons &amp; instructors (identification via Web-Site and/or ORCID) - Lecturer</t>
  </si>
  <si>
    <t>Lecturer 1</t>
  </si>
  <si>
    <t>Lecturer 2</t>
  </si>
  <si>
    <t>Lecturer 4</t>
  </si>
  <si>
    <t>Lecturer 3</t>
  </si>
  <si>
    <t>requires manual editing</t>
  </si>
  <si>
    <t>-</t>
  </si>
  <si>
    <t xml:space="preserve">schema:url </t>
  </si>
  <si>
    <t xml:space="preserve">schema:learningResourceType </t>
  </si>
  <si>
    <t>schema:accountablePerson thb-fbwm:</t>
  </si>
  <si>
    <t>wd:Q1391182 .</t>
  </si>
  <si>
    <t>## for didactic aspects of a course</t>
  </si>
  <si>
    <t>module:TeachingForms_</t>
  </si>
  <si>
    <t>schema:identifier "TeachingForms" ;</t>
  </si>
  <si>
    <t>schema:name "Lehrformen mit Präsenzzeiten in Stunden" ;</t>
  </si>
  <si>
    <t xml:space="preserve">schema:sameAs </t>
  </si>
  <si>
    <t xml:space="preserve">schema:affiliation </t>
  </si>
  <si>
    <t>Title Helper</t>
  </si>
  <si>
    <t xml:space="preserve">schema:valueReference </t>
  </si>
  <si>
    <t xml:space="preserve">schema:hasCourseInstance </t>
  </si>
  <si>
    <t xml:space="preserve">module:about_LResults </t>
  </si>
  <si>
    <t xml:space="preserve">module:about_Content </t>
  </si>
  <si>
    <t xml:space="preserve">module:about_Exam </t>
  </si>
  <si>
    <t xml:space="preserve">module:addProp_TeachingForms </t>
  </si>
  <si>
    <t xml:space="preserve">module:addProp_CompWL </t>
  </si>
  <si>
    <t xml:space="preserve">module:eduAlignm_Curr </t>
  </si>
  <si>
    <t xml:space="preserve">module:eduAlignm_ModuleType </t>
  </si>
  <si>
    <t xml:space="preserve">module:eduAlignm_SWS </t>
  </si>
  <si>
    <t xml:space="preserve">module:eduAlignm_Grade </t>
  </si>
  <si>
    <t>module:TF1_</t>
  </si>
  <si>
    <t>module:TF2_</t>
  </si>
  <si>
    <t xml:space="preserve">schema:value </t>
  </si>
  <si>
    <t>module:CompWL_</t>
  </si>
  <si>
    <t>schema:identifier "Workload" ;</t>
  </si>
  <si>
    <t>schema:name "Aufteilung der Workload in Stunden" ;</t>
  </si>
  <si>
    <t>Prefix</t>
  </si>
  <si>
    <t>Suffix</t>
  </si>
  <si>
    <t>LL.M.</t>
  </si>
  <si>
    <t>N.N.</t>
  </si>
  <si>
    <t>Dipl.-Inf. (FH)</t>
  </si>
  <si>
    <t>Diplom-Mathematiker</t>
  </si>
  <si>
    <t xml:space="preserve">Dipl. Inf. Dipl. BW </t>
  </si>
  <si>
    <t>## for ItemLists (about): Learning Results, Content, Examination Forms</t>
  </si>
  <si>
    <t xml:space="preserve">schema:identifier </t>
  </si>
  <si>
    <t xml:space="preserve">schema:itemListElement </t>
  </si>
  <si>
    <t>module:Content_</t>
  </si>
  <si>
    <t xml:space="preserve">schema:isBasedOn </t>
  </si>
  <si>
    <t>module:Exam_</t>
  </si>
  <si>
    <t>Processing enables to find more related info in the column</t>
  </si>
  <si>
    <t>## for CourseInstances</t>
  </si>
  <si>
    <t xml:space="preserve">schema:courseMode </t>
  </si>
  <si>
    <t xml:space="preserve">schema:duration </t>
  </si>
  <si>
    <t>schema:instructor thb-fbwm:</t>
  </si>
  <si>
    <t xml:space="preserve">## for AlignmentObjects </t>
  </si>
  <si>
    <t>module:Curr_WIB_</t>
  </si>
  <si>
    <t xml:space="preserve">schema:alignmentType </t>
  </si>
  <si>
    <t xml:space="preserve">schema:targetURL </t>
  </si>
  <si>
    <t xml:space="preserve">schema:targetDescription </t>
  </si>
  <si>
    <t xml:space="preserve">schema:targetName </t>
  </si>
  <si>
    <t xml:space="preserve">schema:educationalFramework </t>
  </si>
  <si>
    <t>module:ModuleType_WIB_</t>
  </si>
  <si>
    <t>module:SWS_WIB_</t>
  </si>
  <si>
    <t xml:space="preserve">## for authors (identification via XING, ORCID, Researchgate) </t>
  </si>
  <si>
    <t>## for affiliations of persons (identification via WikiData)</t>
  </si>
  <si>
    <t xml:space="preserve">schema:legalName </t>
  </si>
  <si>
    <t>## for citations: Books, Articles (resp. CWS) &amp; Digital Documents (identification via DOI, ISBN or URL)</t>
  </si>
  <si>
    <t>schema:author &lt;http://orcid.org/xxAuthor&gt;</t>
  </si>
  <si>
    <t>schema:headline</t>
  </si>
  <si>
    <t>schema:datePublished</t>
  </si>
  <si>
    <t>schema:url</t>
  </si>
  <si>
    <t>&lt;http://doi.org/zzArticle&gt; a schema:Article</t>
  </si>
  <si>
    <t>schema:isPartOf &lt;http://doi.org/zzJournalOrProceeding&gt;</t>
  </si>
  <si>
    <t>schema:pageStart</t>
  </si>
  <si>
    <t>schema:pageEnd</t>
  </si>
  <si>
    <t>&lt;http://doi.org/zzJournalOrProceeding&gt; a schema:CreativeWork</t>
  </si>
  <si>
    <t>&lt;http://doi.org/zzDigitalDocument&gt; a schema:DigitalDocument</t>
  </si>
  <si>
    <t>schema:publisher wd:Qxxx</t>
  </si>
  <si>
    <t>## for publishers of Books, Articles, Journals &amp; Digital Documents</t>
  </si>
  <si>
    <t>wd:Qxxx a schema:Organization</t>
  </si>
  <si>
    <t>schema:legalName</t>
  </si>
  <si>
    <t>https://www.xing.com/profile/xxx</t>
  </si>
  <si>
    <t>rdfs:label</t>
  </si>
  <si>
    <t>rdfs:label?</t>
  </si>
  <si>
    <t>Verbindung zu Author?</t>
  </si>
  <si>
    <t>family name</t>
  </si>
  <si>
    <t>given name</t>
  </si>
  <si>
    <t xml:space="preserve">&lt;http://doi.org/zzBook&gt; </t>
  </si>
  <si>
    <t xml:space="preserve">schema:Author </t>
  </si>
  <si>
    <t xml:space="preserve">schema:headline </t>
  </si>
  <si>
    <t xml:space="preserve">schema:bookEdition </t>
  </si>
  <si>
    <t xml:space="preserve">schema:datePublished </t>
  </si>
  <si>
    <t>wd:Qyyy</t>
  </si>
  <si>
    <t>http://www.google.de/search?hl=de&amp;source=hp&amp;q=</t>
  </si>
  <si>
    <t>*suchbegriff*&amp;meta=lr%3D&amp;btnG=Google-Suche</t>
  </si>
  <si>
    <t>Triple</t>
  </si>
  <si>
    <t>Triple Indent Helper</t>
  </si>
  <si>
    <t>Module (5 CP)</t>
  </si>
  <si>
    <t>∑ Module</t>
  </si>
  <si>
    <t>∑ CP / Semester</t>
  </si>
  <si>
    <t>Propädeutikum Mathematik / Strukturierte Eingangsphase</t>
  </si>
  <si>
    <t>Systemanalyse</t>
  </si>
  <si>
    <t>Grundlagen der Wirtschaftswissen-schaften</t>
  </si>
  <si>
    <t>Grundlagen und Wirkungen der WI</t>
  </si>
  <si>
    <t>Grundlagen der Wirtschafts- und Finanzmathematik</t>
  </si>
  <si>
    <t>Projektstudium und wissenschaftliches Arbeiten</t>
  </si>
  <si>
    <t>Grundlagen der Prozessmodellierung</t>
  </si>
  <si>
    <t>Rechnungswesen und Controlling</t>
  </si>
  <si>
    <t>Objektorientierter Systementwurf</t>
  </si>
  <si>
    <t>Englisch anwenden in der WI</t>
  </si>
  <si>
    <t>Grundlagen statistischer Methoden</t>
  </si>
  <si>
    <t>Datenbanken – Modellierung und Strukturierung</t>
  </si>
  <si>
    <t>Usability und Softwareergonomie</t>
  </si>
  <si>
    <t>Betriebssysteme und Netzwerke</t>
  </si>
  <si>
    <t>Softwareengineering</t>
  </si>
  <si>
    <t>Projektmanagement und soziale Kompetenzen</t>
  </si>
  <si>
    <t>Businessplan Wettbewerb</t>
  </si>
  <si>
    <t>Datenbanken – Anwendung und Entwicklung</t>
  </si>
  <si>
    <t>Informations-management</t>
  </si>
  <si>
    <t>DV-orientiertes Wirtschaftsrecht</t>
  </si>
  <si>
    <t>Predictive Analytics und Big Data</t>
  </si>
  <si>
    <t>Management und Organisation</t>
  </si>
  <si>
    <t>Systemarchitekturen und -integration</t>
  </si>
  <si>
    <t>Wahlpflichtmodul</t>
  </si>
  <si>
    <t>WI 1</t>
  </si>
  <si>
    <t>Auswahl und Anpassung von IT-Diensten</t>
  </si>
  <si>
    <t>Forschungsansätze in der WI</t>
  </si>
  <si>
    <t>Datenschutz und Sicherheit</t>
  </si>
  <si>
    <t>Produktion, Logistik und Vertrieb</t>
  </si>
  <si>
    <t>Wirtschaft</t>
  </si>
  <si>
    <t>WI 2</t>
  </si>
  <si>
    <t>Betreutes Praxisprojekt, Praxisseminar (12 + 3 CP)</t>
  </si>
  <si>
    <t>Bachelorarbeit mit Kolloquium, Bachelorseminar (12 + 3 CP)</t>
  </si>
  <si>
    <t>Fächerkatalog WI-Bachelor</t>
  </si>
  <si>
    <t>Kooperatives Informations- und Wissensmanagement</t>
  </si>
  <si>
    <t>Grundlagen betrieblicher Anwendungssysteme</t>
  </si>
  <si>
    <t>Grundlagen der Systementwicklung</t>
  </si>
  <si>
    <t>Funktionsbereiche betrieblicher Anwendungssysteme</t>
  </si>
  <si>
    <t>Grundlagen und Ansätze der BWL und WI</t>
  </si>
  <si>
    <t>Komplexe Anwendungssysteme</t>
  </si>
  <si>
    <t>Soziale und internationale Kompetenzen</t>
  </si>
  <si>
    <t>Spezielle BWL</t>
  </si>
  <si>
    <t>Methodische Grundlagen</t>
  </si>
  <si>
    <t>Wahlpflichtbereich</t>
  </si>
  <si>
    <t>find</t>
  </si>
  <si>
    <t>module:Grade_WIB_</t>
  </si>
  <si>
    <t>@th-brandenburg.de</t>
  </si>
  <si>
    <t>Dipl.-Ing.</t>
  </si>
  <si>
    <t>muss von allen Studierenden belegt und absolviert werden</t>
  </si>
  <si>
    <t>kann aus einer Reihe von Modulen ausgewählt werden, wird angeboten, wenn sich genügend Interessenten finden</t>
  </si>
  <si>
    <t>4 SWS= 2 SWS Vorlesung + 2 SWS Übung</t>
  </si>
  <si>
    <t>Vorlesung</t>
  </si>
  <si>
    <t>2 SWS</t>
  </si>
  <si>
    <t>Übung</t>
  </si>
  <si>
    <t>4 SWS</t>
  </si>
  <si>
    <t>module:WL1_</t>
  </si>
  <si>
    <t>module:WL2_</t>
  </si>
  <si>
    <t>Workload</t>
  </si>
  <si>
    <t>schema:name "Aufteilung der Workload in Stunden"</t>
  </si>
  <si>
    <t>Aufteilung der Workload in Stunden</t>
  </si>
  <si>
    <t>1. Click on "Clean Original"
2. Copy module description to A1
3. Click on "Copy result to clipboard"</t>
  </si>
  <si>
    <t>Gesamtworkload und ihre Zusammensetzung:</t>
  </si>
  <si>
    <t>Mehrere Dozenten müssen mit Komma getrennt sein, kein Komma vor Suffix</t>
  </si>
  <si>
    <t>, alternative DozentInnen</t>
  </si>
  <si>
    <t>Professorinnen u. Professoren der Wirtschaftsinformatik (optional auch als Ringveranstaltung geplant)</t>
  </si>
  <si>
    <t>Dipl. Ing.</t>
  </si>
  <si>
    <t xml:space="preserve">schema:coursePrerequisites </t>
  </si>
  <si>
    <t xml:space="preserve">Gesamtworkload und ihre Zusammensetzung: </t>
  </si>
  <si>
    <t>Prof. Dr. jur.</t>
  </si>
  <si>
    <t>Prof Dr.</t>
  </si>
  <si>
    <t>Alle im Studiengang lehrenden Hochschullehrer</t>
  </si>
  <si>
    <t>Accountable Person</t>
  </si>
  <si>
    <t>Deutsch, Englisch</t>
  </si>
  <si>
    <t>schema:citation &lt;http://doi.org/zzBook&gt; , &lt;http://doi.org/zzArticle&gt; , &lt;http://doi.org/zzDigitalDocument&gt; ;</t>
  </si>
  <si>
    <t>;</t>
  </si>
  <si>
    <t>.</t>
  </si>
  <si>
    <t>module:LResults_</t>
  </si>
  <si>
    <t>Modul</t>
  </si>
  <si>
    <t>URI-Kürzel</t>
  </si>
  <si>
    <t>MHB-Kürzel</t>
  </si>
  <si>
    <t>AlgoDat</t>
  </si>
  <si>
    <t>AlDS</t>
  </si>
  <si>
    <t>ja</t>
  </si>
  <si>
    <t>MHB-Sync</t>
  </si>
  <si>
    <t>SemAnp</t>
  </si>
  <si>
    <t>Typ</t>
  </si>
  <si>
    <t>PF</t>
  </si>
  <si>
    <t>Grundlagen der Wirtschaftswissenschaften</t>
  </si>
  <si>
    <t>BWL</t>
  </si>
  <si>
    <t>GBWL</t>
  </si>
  <si>
    <t>Wi</t>
  </si>
  <si>
    <t>SemInVZ</t>
  </si>
  <si>
    <t>WIGundW</t>
  </si>
  <si>
    <t>GWWI</t>
  </si>
  <si>
    <t>MathBasis</t>
  </si>
  <si>
    <t>GWFM</t>
  </si>
  <si>
    <t>PST</t>
  </si>
  <si>
    <t>PSWA</t>
  </si>
  <si>
    <t>SYSA</t>
  </si>
  <si>
    <t>SyAn</t>
  </si>
  <si>
    <t>Datenbanken - Modellierung und Strukturierung</t>
  </si>
  <si>
    <t>DB1</t>
  </si>
  <si>
    <t>DBMS</t>
  </si>
  <si>
    <t>So</t>
  </si>
  <si>
    <t>Englisch</t>
  </si>
  <si>
    <t>EAWI</t>
  </si>
  <si>
    <t>Statistik</t>
  </si>
  <si>
    <t>GStM</t>
  </si>
  <si>
    <t>GPMO</t>
  </si>
  <si>
    <t>GPzM</t>
  </si>
  <si>
    <t>OOSE</t>
  </si>
  <si>
    <t>RWCO</t>
  </si>
  <si>
    <t>RWCo</t>
  </si>
  <si>
    <t>BSNW</t>
  </si>
  <si>
    <t>DB2</t>
  </si>
  <si>
    <t>DBAE</t>
  </si>
  <si>
    <t>USWE</t>
  </si>
  <si>
    <t>UsSE</t>
  </si>
  <si>
    <t>PMSK</t>
  </si>
  <si>
    <t>Software Engineering</t>
  </si>
  <si>
    <t>SWEN</t>
  </si>
  <si>
    <t>SWEn</t>
  </si>
  <si>
    <t>Businessplan-Wettbewerb</t>
  </si>
  <si>
    <t>BPWB</t>
  </si>
  <si>
    <t>BPWb</t>
  </si>
  <si>
    <t>Informationsmanagement</t>
  </si>
  <si>
    <t>InfMan</t>
  </si>
  <si>
    <t>InMa</t>
  </si>
  <si>
    <t>ManOrg</t>
  </si>
  <si>
    <t>MaOr</t>
  </si>
  <si>
    <t>SaSi</t>
  </si>
  <si>
    <t>SASI</t>
  </si>
  <si>
    <t>DVWR</t>
  </si>
  <si>
    <t>DSDS</t>
  </si>
  <si>
    <t>DSSi</t>
  </si>
  <si>
    <t>Predictive Analytics and Big Data</t>
  </si>
  <si>
    <t>PABD</t>
  </si>
  <si>
    <t>Forschungsansätze in der Wirtschaftsinformatik</t>
  </si>
  <si>
    <t>FAWI</t>
  </si>
  <si>
    <t>Produktion, Logistik, Vertrieb</t>
  </si>
  <si>
    <t>PLVt</t>
  </si>
  <si>
    <t>AAIT</t>
  </si>
  <si>
    <t>EOMa</t>
  </si>
  <si>
    <t>Einführung Online-Marketing</t>
  </si>
  <si>
    <t>CoAC</t>
  </si>
  <si>
    <t>Communication across cultures</t>
  </si>
  <si>
    <t>Logi</t>
  </si>
  <si>
    <t>Logistik</t>
  </si>
  <si>
    <t>GFVR</t>
  </si>
  <si>
    <t>Gründung, Förderung und Vergaberecht</t>
  </si>
  <si>
    <t>FWAS</t>
  </si>
  <si>
    <t>GNWT</t>
  </si>
  <si>
    <t>Grundlagen der Netzwerktechnik</t>
  </si>
  <si>
    <t>EOPJ</t>
  </si>
  <si>
    <t>Einführung in das objektorientierte Programmieren mit Java</t>
  </si>
  <si>
    <t>IFAE</t>
  </si>
  <si>
    <t>Integration von Finanz- und Auftragsprozessen in ERP-Systemen</t>
  </si>
  <si>
    <t>CDDO</t>
  </si>
  <si>
    <t>Continuous Delivery und DevOps</t>
  </si>
  <si>
    <t>EWAA</t>
  </si>
  <si>
    <t>Entwicklung von Web-Anwendungen und -Architekturen</t>
  </si>
  <si>
    <t>MaMF</t>
  </si>
  <si>
    <t>Prozessmangement KMU</t>
  </si>
  <si>
    <t>Frameworks für webbasierte Anwendungssysteme</t>
  </si>
  <si>
    <t>Marketing und Marktforschung</t>
  </si>
  <si>
    <t>WPF-WI</t>
  </si>
  <si>
    <t>WPF-WW</t>
  </si>
  <si>
    <t>PMKM</t>
  </si>
  <si>
    <t>BB542</t>
  </si>
  <si>
    <t>Standard-konforme Repräsentation und Verarbeitung mehrsprachiger Daten</t>
  </si>
  <si>
    <t>SRVD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</si>
</sst>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2"/>
      <color theme="1"/>
      <name val="Calibri"/>
      <family val="2"/>
      <scheme val="minor"/>
    </font>
    <font>
      <sz val="10"/>
      <color theme="1"/>
      <name val="Tahoma"/>
      <family val="2"/>
    </font>
    <font>
      <b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0"/>
      <name val="Calibri"/>
      <family val="2"/>
      <scheme val="minor"/>
    </font>
    <font>
      <sz val="18"/>
      <color theme="2" tint="-0.249977111117893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sz val="12"/>
      <color theme="2" tint="-0.249977111117893"/>
      <name val="Calibri"/>
      <family val="2"/>
      <scheme val="minor"/>
    </font>
    <font>
      <sz val="10"/>
      <color theme="2" tint="-0.249977111117893"/>
      <name val="Tahoma"/>
      <family val="2"/>
    </font>
    <font>
      <sz val="12"/>
      <color theme="9"/>
      <name val="Calibri"/>
      <family val="2"/>
      <scheme val="minor"/>
    </font>
    <font>
      <sz val="12"/>
      <color theme="0"/>
      <name val="Calibri (Textkörper)"/>
    </font>
    <font>
      <sz val="12"/>
      <color theme="1" tint="0.499984740745262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C00000"/>
      <name val="Calibri"/>
      <family val="2"/>
      <scheme val="minor"/>
    </font>
    <font>
      <sz val="12"/>
      <name val="Calibri"/>
      <family val="2"/>
      <scheme val="minor"/>
    </font>
    <font>
      <sz val="12"/>
      <color rgb="FFAEAAAA"/>
      <name val="Calibri"/>
      <family val="2"/>
      <scheme val="minor"/>
    </font>
    <font>
      <sz val="9"/>
      <color theme="1"/>
      <name val="Tahoma"/>
      <family val="2"/>
    </font>
    <font>
      <sz val="9"/>
      <color rgb="FF000000"/>
      <name val="Tahoma"/>
      <family val="2"/>
    </font>
    <font>
      <sz val="14"/>
      <color rgb="FF000000"/>
      <name val="Calibri (Textkörper)"/>
    </font>
    <font>
      <sz val="16"/>
      <color theme="1"/>
      <name val="Calibri"/>
      <family val="2"/>
      <scheme val="minor"/>
    </font>
    <font>
      <b/>
      <sz val="20"/>
      <color rgb="FFED7D31"/>
      <name val="Calibri"/>
      <family val="2"/>
    </font>
    <font>
      <sz val="8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E24E4A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2D69B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76923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dotted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dotted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9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0" xfId="0" applyFont="1" applyAlignment="1">
      <alignment wrapText="1"/>
    </xf>
    <xf numFmtId="0" fontId="0" fillId="0" borderId="7" xfId="0" applyFont="1" applyBorder="1"/>
    <xf numFmtId="0" fontId="0" fillId="0" borderId="8" xfId="0" applyBorder="1"/>
    <xf numFmtId="0" fontId="0" fillId="0" borderId="5" xfId="0" applyBorder="1"/>
    <xf numFmtId="0" fontId="3" fillId="0" borderId="0" xfId="0" applyFont="1" applyAlignment="1">
      <alignment vertical="center" wrapText="1"/>
    </xf>
    <xf numFmtId="0" fontId="6" fillId="0" borderId="0" xfId="0" applyFont="1" applyAlignment="1">
      <alignment wrapText="1"/>
    </xf>
    <xf numFmtId="0" fontId="6" fillId="0" borderId="0" xfId="0" applyFont="1"/>
    <xf numFmtId="0" fontId="8" fillId="0" borderId="0" xfId="0" applyFont="1" applyAlignment="1">
      <alignment wrapText="1"/>
    </xf>
    <xf numFmtId="0" fontId="8" fillId="0" borderId="0" xfId="0" applyFont="1"/>
    <xf numFmtId="0" fontId="9" fillId="0" borderId="0" xfId="0" applyFont="1" applyBorder="1" applyAlignment="1">
      <alignment vertical="center" wrapText="1"/>
    </xf>
    <xf numFmtId="0" fontId="6" fillId="0" borderId="0" xfId="0" applyFont="1" applyAlignment="1">
      <alignment horizontal="center" vertical="center" wrapText="1"/>
    </xf>
    <xf numFmtId="0" fontId="12" fillId="0" borderId="0" xfId="0" applyFont="1"/>
    <xf numFmtId="0" fontId="2" fillId="0" borderId="10" xfId="0" applyFont="1" applyBorder="1" applyAlignment="1">
      <alignment vertical="center" wrapText="1"/>
    </xf>
    <xf numFmtId="0" fontId="2" fillId="0" borderId="11" xfId="0" applyFont="1" applyBorder="1" applyAlignment="1">
      <alignment vertical="center" wrapText="1"/>
    </xf>
    <xf numFmtId="0" fontId="7" fillId="0" borderId="11" xfId="0" applyFont="1" applyBorder="1" applyAlignment="1">
      <alignment vertical="center" wrapText="1"/>
    </xf>
    <xf numFmtId="0" fontId="0" fillId="0" borderId="12" xfId="0" applyBorder="1" applyAlignment="1">
      <alignment wrapText="1"/>
    </xf>
    <xf numFmtId="0" fontId="0" fillId="0" borderId="0" xfId="0" applyBorder="1" applyAlignment="1">
      <alignment wrapText="1"/>
    </xf>
    <xf numFmtId="0" fontId="8" fillId="0" borderId="0" xfId="0" applyFont="1" applyBorder="1" applyAlignment="1">
      <alignment wrapText="1"/>
    </xf>
    <xf numFmtId="0" fontId="8" fillId="0" borderId="0" xfId="0" applyFont="1" applyBorder="1"/>
    <xf numFmtId="0" fontId="8" fillId="0" borderId="0" xfId="0" quotePrefix="1" applyFont="1" applyBorder="1"/>
    <xf numFmtId="0" fontId="8" fillId="0" borderId="0" xfId="0" quotePrefix="1" applyFont="1" applyBorder="1" applyAlignment="1">
      <alignment wrapText="1"/>
    </xf>
    <xf numFmtId="0" fontId="0" fillId="0" borderId="13" xfId="0" applyBorder="1" applyAlignment="1">
      <alignment wrapText="1"/>
    </xf>
    <xf numFmtId="0" fontId="0" fillId="0" borderId="14" xfId="0" applyBorder="1" applyAlignment="1">
      <alignment wrapText="1"/>
    </xf>
    <xf numFmtId="0" fontId="8" fillId="0" borderId="14" xfId="0" applyFont="1" applyBorder="1"/>
    <xf numFmtId="0" fontId="0" fillId="0" borderId="0" xfId="0" applyBorder="1"/>
    <xf numFmtId="0" fontId="2" fillId="0" borderId="11" xfId="0" applyFont="1" applyBorder="1" applyAlignment="1">
      <alignment vertical="center"/>
    </xf>
    <xf numFmtId="0" fontId="0" fillId="0" borderId="14" xfId="0" applyBorder="1"/>
    <xf numFmtId="0" fontId="0" fillId="0" borderId="15" xfId="0" applyBorder="1" applyAlignment="1">
      <alignment wrapText="1"/>
    </xf>
    <xf numFmtId="0" fontId="8" fillId="0" borderId="15" xfId="0" applyFont="1" applyBorder="1" applyAlignment="1">
      <alignment wrapText="1"/>
    </xf>
    <xf numFmtId="0" fontId="8" fillId="0" borderId="15" xfId="0" applyFont="1" applyBorder="1"/>
    <xf numFmtId="0" fontId="13" fillId="0" borderId="15" xfId="0" applyFont="1" applyBorder="1"/>
    <xf numFmtId="0" fontId="15" fillId="0" borderId="12" xfId="0" applyFont="1" applyBorder="1"/>
    <xf numFmtId="0" fontId="15" fillId="0" borderId="0" xfId="0" applyFont="1" applyBorder="1" applyAlignment="1">
      <alignment wrapText="1"/>
    </xf>
    <xf numFmtId="0" fontId="15" fillId="0" borderId="0" xfId="0" applyFont="1" applyBorder="1"/>
    <xf numFmtId="0" fontId="0" fillId="0" borderId="10" xfId="0" applyBorder="1" applyAlignment="1">
      <alignment wrapText="1"/>
    </xf>
    <xf numFmtId="0" fontId="0" fillId="0" borderId="11" xfId="0" applyBorder="1" applyAlignment="1">
      <alignment wrapText="1"/>
    </xf>
    <xf numFmtId="0" fontId="8" fillId="0" borderId="11" xfId="0" applyFont="1" applyBorder="1" applyAlignment="1">
      <alignment wrapText="1"/>
    </xf>
    <xf numFmtId="0" fontId="8" fillId="0" borderId="11" xfId="0" applyFont="1" applyBorder="1"/>
    <xf numFmtId="0" fontId="0" fillId="0" borderId="16" xfId="0" applyBorder="1"/>
    <xf numFmtId="0" fontId="2" fillId="0" borderId="12" xfId="0" applyFont="1" applyBorder="1" applyAlignment="1">
      <alignment wrapText="1"/>
    </xf>
    <xf numFmtId="0" fontId="2" fillId="0" borderId="0" xfId="0" applyFont="1" applyBorder="1" applyAlignment="1">
      <alignment vertical="center" wrapText="1"/>
    </xf>
    <xf numFmtId="0" fontId="7" fillId="0" borderId="0" xfId="0" applyFont="1" applyBorder="1" applyAlignment="1">
      <alignment vertical="center" wrapText="1"/>
    </xf>
    <xf numFmtId="0" fontId="14" fillId="0" borderId="12" xfId="0" applyFont="1" applyFill="1" applyBorder="1" applyAlignment="1">
      <alignment vertical="center" wrapText="1"/>
    </xf>
    <xf numFmtId="0" fontId="7" fillId="0" borderId="0" xfId="0" applyFont="1" applyBorder="1" applyAlignment="1">
      <alignment horizontal="center" vertical="center"/>
    </xf>
    <xf numFmtId="0" fontId="13" fillId="0" borderId="0" xfId="0" applyFont="1" applyBorder="1"/>
    <xf numFmtId="0" fontId="0" fillId="0" borderId="0" xfId="0" applyFont="1" applyBorder="1" applyAlignment="1">
      <alignment vertical="center" wrapText="1"/>
    </xf>
    <xf numFmtId="0" fontId="0" fillId="0" borderId="17" xfId="0" applyBorder="1"/>
    <xf numFmtId="0" fontId="2" fillId="0" borderId="18" xfId="0" applyFont="1" applyBorder="1" applyAlignment="1">
      <alignment wrapText="1"/>
    </xf>
    <xf numFmtId="0" fontId="8" fillId="0" borderId="14" xfId="0" applyFont="1" applyBorder="1" applyAlignment="1">
      <alignment wrapText="1"/>
    </xf>
    <xf numFmtId="0" fontId="0" fillId="0" borderId="19" xfId="0" applyBorder="1"/>
    <xf numFmtId="0" fontId="12" fillId="0" borderId="10" xfId="0" applyFont="1" applyBorder="1"/>
    <xf numFmtId="0" fontId="10" fillId="0" borderId="12" xfId="0" applyFont="1" applyBorder="1"/>
    <xf numFmtId="0" fontId="4" fillId="0" borderId="12" xfId="0" applyFont="1" applyBorder="1"/>
    <xf numFmtId="0" fontId="0" fillId="0" borderId="12" xfId="0" applyBorder="1"/>
    <xf numFmtId="0" fontId="2" fillId="0" borderId="0" xfId="0" applyFont="1" applyBorder="1" applyAlignment="1">
      <alignment vertical="center"/>
    </xf>
    <xf numFmtId="0" fontId="13" fillId="0" borderId="0" xfId="0" applyNumberFormat="1" applyFont="1" applyBorder="1"/>
    <xf numFmtId="0" fontId="13" fillId="0" borderId="14" xfId="0" applyNumberFormat="1" applyFont="1" applyBorder="1"/>
    <xf numFmtId="0" fontId="0" fillId="0" borderId="17" xfId="0" applyBorder="1" applyAlignment="1">
      <alignment wrapText="1"/>
    </xf>
    <xf numFmtId="0" fontId="12" fillId="0" borderId="10" xfId="0" applyFont="1" applyBorder="1" applyAlignment="1"/>
    <xf numFmtId="0" fontId="10" fillId="0" borderId="12" xfId="0" applyFont="1" applyBorder="1" applyAlignment="1"/>
    <xf numFmtId="0" fontId="0" fillId="0" borderId="12" xfId="0" quotePrefix="1" applyBorder="1"/>
    <xf numFmtId="0" fontId="10" fillId="0" borderId="17" xfId="0" applyFont="1" applyBorder="1" applyAlignment="1">
      <alignment wrapText="1"/>
    </xf>
    <xf numFmtId="0" fontId="2" fillId="0" borderId="10" xfId="0" applyFont="1" applyBorder="1" applyAlignment="1">
      <alignment wrapText="1"/>
    </xf>
    <xf numFmtId="0" fontId="3" fillId="0" borderId="0" xfId="0" applyFont="1" applyBorder="1"/>
    <xf numFmtId="0" fontId="0" fillId="0" borderId="11" xfId="0" applyBorder="1"/>
    <xf numFmtId="0" fontId="0" fillId="0" borderId="15" xfId="0" applyBorder="1"/>
    <xf numFmtId="0" fontId="2" fillId="0" borderId="20" xfId="0" applyFont="1" applyBorder="1" applyAlignment="1">
      <alignment vertical="center"/>
    </xf>
    <xf numFmtId="0" fontId="0" fillId="0" borderId="20" xfId="0" applyBorder="1"/>
    <xf numFmtId="0" fontId="0" fillId="0" borderId="0" xfId="0" applyFill="1" applyBorder="1"/>
    <xf numFmtId="0" fontId="0" fillId="0" borderId="18" xfId="0" applyBorder="1" applyAlignment="1">
      <alignment wrapText="1"/>
    </xf>
    <xf numFmtId="0" fontId="0" fillId="0" borderId="21" xfId="0" applyBorder="1"/>
    <xf numFmtId="0" fontId="0" fillId="0" borderId="22" xfId="0" applyBorder="1" applyAlignment="1">
      <alignment wrapText="1"/>
    </xf>
    <xf numFmtId="0" fontId="0" fillId="0" borderId="23" xfId="0" applyBorder="1" applyAlignment="1">
      <alignment wrapText="1"/>
    </xf>
    <xf numFmtId="0" fontId="8" fillId="0" borderId="23" xfId="0" applyFont="1" applyBorder="1" applyAlignment="1">
      <alignment wrapText="1"/>
    </xf>
    <xf numFmtId="0" fontId="8" fillId="0" borderId="23" xfId="0" applyFont="1" applyBorder="1"/>
    <xf numFmtId="0" fontId="13" fillId="0" borderId="23" xfId="0" applyNumberFormat="1" applyFont="1" applyBorder="1"/>
    <xf numFmtId="0" fontId="0" fillId="0" borderId="24" xfId="0" applyBorder="1"/>
    <xf numFmtId="0" fontId="10" fillId="0" borderId="13" xfId="0" applyFont="1" applyBorder="1"/>
    <xf numFmtId="0" fontId="0" fillId="0" borderId="19" xfId="0" applyBorder="1" applyAlignment="1">
      <alignment wrapText="1"/>
    </xf>
    <xf numFmtId="0" fontId="8" fillId="0" borderId="23" xfId="0" applyFont="1" applyFill="1" applyBorder="1"/>
    <xf numFmtId="0" fontId="10" fillId="0" borderId="19" xfId="0" applyFont="1" applyBorder="1" applyAlignment="1">
      <alignment wrapText="1"/>
    </xf>
    <xf numFmtId="0" fontId="8" fillId="0" borderId="25" xfId="0" applyFont="1" applyBorder="1" applyAlignment="1">
      <alignment wrapText="1"/>
    </xf>
    <xf numFmtId="0" fontId="2" fillId="0" borderId="16" xfId="0" applyFont="1" applyBorder="1" applyAlignment="1">
      <alignment vertical="center"/>
    </xf>
    <xf numFmtId="0" fontId="16" fillId="0" borderId="0" xfId="0" applyFont="1" applyBorder="1" applyAlignment="1">
      <alignment wrapText="1"/>
    </xf>
    <xf numFmtId="0" fontId="8" fillId="0" borderId="14" xfId="0" applyFont="1" applyFill="1" applyBorder="1"/>
    <xf numFmtId="0" fontId="16" fillId="0" borderId="14" xfId="0" applyFont="1" applyBorder="1" applyAlignment="1">
      <alignment wrapText="1"/>
    </xf>
    <xf numFmtId="0" fontId="14" fillId="0" borderId="19" xfId="0" applyFont="1" applyBorder="1"/>
    <xf numFmtId="0" fontId="8" fillId="0" borderId="23" xfId="0" quotePrefix="1" applyFont="1" applyBorder="1"/>
    <xf numFmtId="0" fontId="8" fillId="0" borderId="14" xfId="0" quotePrefix="1" applyFont="1" applyBorder="1"/>
    <xf numFmtId="0" fontId="0" fillId="0" borderId="16" xfId="0" applyBorder="1" applyAlignment="1">
      <alignment wrapText="1"/>
    </xf>
    <xf numFmtId="0" fontId="4" fillId="0" borderId="17" xfId="0" applyFont="1" applyBorder="1" applyAlignment="1">
      <alignment wrapText="1"/>
    </xf>
    <xf numFmtId="0" fontId="7" fillId="0" borderId="11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4" fillId="0" borderId="0" xfId="0" applyFont="1" applyBorder="1"/>
    <xf numFmtId="0" fontId="4" fillId="0" borderId="24" xfId="0" applyFont="1" applyBorder="1"/>
    <xf numFmtId="0" fontId="4" fillId="0" borderId="17" xfId="0" applyFont="1" applyBorder="1"/>
    <xf numFmtId="0" fontId="4" fillId="0" borderId="12" xfId="0" applyFont="1" applyBorder="1" applyAlignment="1"/>
    <xf numFmtId="0" fontId="12" fillId="0" borderId="17" xfId="0" applyFont="1" applyBorder="1" applyAlignment="1">
      <alignment wrapText="1"/>
    </xf>
    <xf numFmtId="0" fontId="17" fillId="0" borderId="1" xfId="0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17" fillId="0" borderId="4" xfId="0" applyFont="1" applyBorder="1" applyAlignment="1">
      <alignment horizontal="center" vertical="center" wrapText="1"/>
    </xf>
    <xf numFmtId="0" fontId="18" fillId="6" borderId="4" xfId="0" applyFont="1" applyFill="1" applyBorder="1" applyAlignment="1">
      <alignment horizontal="center" vertical="center" wrapText="1"/>
    </xf>
    <xf numFmtId="0" fontId="18" fillId="7" borderId="4" xfId="0" applyFont="1" applyFill="1" applyBorder="1" applyAlignment="1">
      <alignment horizontal="center" vertical="center" wrapText="1"/>
    </xf>
    <xf numFmtId="0" fontId="18" fillId="8" borderId="4" xfId="0" applyFont="1" applyFill="1" applyBorder="1" applyAlignment="1">
      <alignment horizontal="center" vertical="center" wrapText="1"/>
    </xf>
    <xf numFmtId="0" fontId="18" fillId="9" borderId="4" xfId="0" applyFont="1" applyFill="1" applyBorder="1" applyAlignment="1">
      <alignment horizontal="center" vertical="center" wrapText="1"/>
    </xf>
    <xf numFmtId="0" fontId="18" fillId="10" borderId="4" xfId="0" applyFont="1" applyFill="1" applyBorder="1" applyAlignment="1">
      <alignment horizontal="center" vertical="center" wrapText="1"/>
    </xf>
    <xf numFmtId="0" fontId="18" fillId="11" borderId="4" xfId="0" applyFont="1" applyFill="1" applyBorder="1" applyAlignment="1">
      <alignment horizontal="center" vertical="center" wrapText="1"/>
    </xf>
    <xf numFmtId="0" fontId="18" fillId="12" borderId="4" xfId="0" applyFont="1" applyFill="1" applyBorder="1" applyAlignment="1">
      <alignment horizontal="center" vertical="center" wrapText="1"/>
    </xf>
    <xf numFmtId="0" fontId="18" fillId="13" borderId="4" xfId="0" applyFont="1" applyFill="1" applyBorder="1" applyAlignment="1">
      <alignment horizontal="center" vertical="center" wrapText="1"/>
    </xf>
    <xf numFmtId="0" fontId="18" fillId="15" borderId="5" xfId="0" applyFont="1" applyFill="1" applyBorder="1" applyAlignment="1">
      <alignment horizontal="center" vertical="center" wrapText="1"/>
    </xf>
    <xf numFmtId="0" fontId="18" fillId="15" borderId="4" xfId="0" applyFont="1" applyFill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17" fillId="0" borderId="27" xfId="0" applyFont="1" applyBorder="1" applyAlignment="1">
      <alignment horizontal="center" vertical="center" wrapText="1"/>
    </xf>
    <xf numFmtId="0" fontId="16" fillId="0" borderId="0" xfId="0" applyFont="1"/>
    <xf numFmtId="0" fontId="7" fillId="0" borderId="10" xfId="0" applyFont="1" applyBorder="1" applyAlignment="1">
      <alignment wrapText="1"/>
    </xf>
    <xf numFmtId="0" fontId="8" fillId="0" borderId="12" xfId="0" applyFont="1" applyBorder="1" applyAlignment="1">
      <alignment wrapText="1"/>
    </xf>
    <xf numFmtId="0" fontId="8" fillId="0" borderId="0" xfId="0" applyFont="1" applyFill="1"/>
    <xf numFmtId="0" fontId="8" fillId="0" borderId="12" xfId="0" applyFont="1" applyFill="1" applyBorder="1"/>
    <xf numFmtId="0" fontId="8" fillId="0" borderId="13" xfId="0" applyFont="1" applyBorder="1" applyAlignment="1">
      <alignment wrapText="1"/>
    </xf>
    <xf numFmtId="0" fontId="0" fillId="0" borderId="13" xfId="0" applyBorder="1"/>
    <xf numFmtId="0" fontId="8" fillId="0" borderId="23" xfId="0" quotePrefix="1" applyFont="1" applyBorder="1" applyAlignment="1">
      <alignment wrapText="1"/>
    </xf>
    <xf numFmtId="0" fontId="8" fillId="0" borderId="0" xfId="0" applyFont="1" applyFill="1" applyBorder="1"/>
    <xf numFmtId="0" fontId="8" fillId="0" borderId="25" xfId="0" applyFont="1" applyBorder="1"/>
    <xf numFmtId="0" fontId="16" fillId="0" borderId="23" xfId="0" applyFont="1" applyBorder="1" applyAlignment="1">
      <alignment wrapText="1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 wrapText="1"/>
    </xf>
    <xf numFmtId="0" fontId="8" fillId="0" borderId="0" xfId="0" quotePrefix="1" applyFont="1" applyBorder="1" applyAlignment="1">
      <alignment vertical="top" wrapText="1"/>
    </xf>
    <xf numFmtId="0" fontId="0" fillId="0" borderId="12" xfId="0" applyBorder="1" applyAlignment="1">
      <alignment vertical="center" wrapText="1"/>
    </xf>
    <xf numFmtId="0" fontId="10" fillId="0" borderId="17" xfId="0" applyFont="1" applyBorder="1" applyAlignment="1"/>
    <xf numFmtId="0" fontId="0" fillId="0" borderId="0" xfId="0" applyBorder="1" applyAlignment="1"/>
    <xf numFmtId="0" fontId="0" fillId="0" borderId="24" xfId="0" applyBorder="1" applyAlignment="1">
      <alignment wrapText="1"/>
    </xf>
    <xf numFmtId="0" fontId="16" fillId="0" borderId="0" xfId="0" applyFont="1" applyAlignment="1">
      <alignment wrapText="1"/>
    </xf>
    <xf numFmtId="0" fontId="12" fillId="0" borderId="12" xfId="0" applyFont="1" applyBorder="1" applyAlignment="1"/>
    <xf numFmtId="0" fontId="13" fillId="0" borderId="15" xfId="0" applyNumberFormat="1" applyFont="1" applyBorder="1"/>
    <xf numFmtId="0" fontId="13" fillId="0" borderId="0" xfId="0" applyFont="1" applyAlignment="1">
      <alignment wrapText="1"/>
    </xf>
    <xf numFmtId="0" fontId="8" fillId="0" borderId="15" xfId="0" applyFont="1" applyFill="1" applyBorder="1"/>
    <xf numFmtId="0" fontId="16" fillId="0" borderId="15" xfId="0" applyFont="1" applyBorder="1" applyAlignment="1">
      <alignment wrapText="1"/>
    </xf>
    <xf numFmtId="0" fontId="15" fillId="0" borderId="12" xfId="0" applyFont="1" applyBorder="1" applyAlignment="1">
      <alignment horizontal="left"/>
    </xf>
    <xf numFmtId="0" fontId="15" fillId="0" borderId="17" xfId="0" applyFont="1" applyBorder="1" applyAlignment="1">
      <alignment horizontal="left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0" fillId="16" borderId="0" xfId="0" quotePrefix="1" applyFont="1" applyFill="1" applyAlignment="1">
      <alignment horizontal="left" vertical="top" wrapText="1"/>
    </xf>
    <xf numFmtId="0" fontId="17" fillId="0" borderId="29" xfId="0" applyFont="1" applyBorder="1" applyAlignment="1">
      <alignment horizontal="center" vertical="center" wrapText="1"/>
    </xf>
    <xf numFmtId="0" fontId="17" fillId="0" borderId="28" xfId="0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 wrapText="1"/>
    </xf>
    <xf numFmtId="0" fontId="18" fillId="6" borderId="6" xfId="0" applyFont="1" applyFill="1" applyBorder="1" applyAlignment="1">
      <alignment horizontal="center" vertical="center" wrapText="1"/>
    </xf>
    <xf numFmtId="0" fontId="18" fillId="6" borderId="3" xfId="0" applyFont="1" applyFill="1" applyBorder="1" applyAlignment="1">
      <alignment horizontal="center" vertical="center" wrapText="1"/>
    </xf>
    <xf numFmtId="0" fontId="18" fillId="13" borderId="6" xfId="0" applyFont="1" applyFill="1" applyBorder="1" applyAlignment="1">
      <alignment horizontal="center" vertical="center" wrapText="1"/>
    </xf>
    <xf numFmtId="0" fontId="18" fillId="13" borderId="3" xfId="0" applyFont="1" applyFill="1" applyBorder="1" applyAlignment="1">
      <alignment horizontal="center" vertical="center" wrapText="1"/>
    </xf>
    <xf numFmtId="0" fontId="18" fillId="14" borderId="6" xfId="0" applyFont="1" applyFill="1" applyBorder="1" applyAlignment="1">
      <alignment horizontal="center" vertical="center" wrapText="1"/>
    </xf>
    <xf numFmtId="0" fontId="18" fillId="14" borderId="3" xfId="0" applyFont="1" applyFill="1" applyBorder="1" applyAlignment="1">
      <alignment horizontal="center" vertical="center" wrapText="1"/>
    </xf>
    <xf numFmtId="0" fontId="18" fillId="11" borderId="6" xfId="0" applyFont="1" applyFill="1" applyBorder="1" applyAlignment="1">
      <alignment horizontal="center" vertical="center" wrapText="1"/>
    </xf>
    <xf numFmtId="0" fontId="18" fillId="11" borderId="3" xfId="0" applyFont="1" applyFill="1" applyBorder="1" applyAlignment="1">
      <alignment horizontal="center" vertical="center" wrapText="1"/>
    </xf>
    <xf numFmtId="0" fontId="18" fillId="8" borderId="29" xfId="0" applyFont="1" applyFill="1" applyBorder="1" applyAlignment="1">
      <alignment vertical="center" wrapText="1"/>
    </xf>
    <xf numFmtId="0" fontId="18" fillId="8" borderId="28" xfId="0" applyFont="1" applyFill="1" applyBorder="1" applyAlignment="1">
      <alignment vertical="center" wrapText="1"/>
    </xf>
    <xf numFmtId="0" fontId="18" fillId="8" borderId="2" xfId="0" applyFont="1" applyFill="1" applyBorder="1" applyAlignment="1">
      <alignment vertical="center" wrapText="1"/>
    </xf>
    <xf numFmtId="0" fontId="18" fillId="14" borderId="29" xfId="0" applyFont="1" applyFill="1" applyBorder="1" applyAlignment="1">
      <alignment vertical="center" wrapText="1"/>
    </xf>
    <xf numFmtId="0" fontId="18" fillId="14" borderId="28" xfId="0" applyFont="1" applyFill="1" applyBorder="1" applyAlignment="1">
      <alignment vertical="center" wrapText="1"/>
    </xf>
    <xf numFmtId="0" fontId="18" fillId="14" borderId="2" xfId="0" applyFont="1" applyFill="1" applyBorder="1" applyAlignment="1">
      <alignment vertical="center" wrapText="1"/>
    </xf>
    <xf numFmtId="0" fontId="18" fillId="12" borderId="6" xfId="0" applyFont="1" applyFill="1" applyBorder="1" applyAlignment="1">
      <alignment horizontal="center" vertical="center" wrapText="1"/>
    </xf>
    <xf numFmtId="0" fontId="18" fillId="12" borderId="3" xfId="0" applyFont="1" applyFill="1" applyBorder="1" applyAlignment="1">
      <alignment horizontal="center" vertical="center" wrapText="1"/>
    </xf>
    <xf numFmtId="0" fontId="18" fillId="7" borderId="6" xfId="0" applyFont="1" applyFill="1" applyBorder="1" applyAlignment="1">
      <alignment horizontal="center" vertical="center" wrapText="1"/>
    </xf>
    <xf numFmtId="0" fontId="18" fillId="7" borderId="3" xfId="0" applyFont="1" applyFill="1" applyBorder="1" applyAlignment="1">
      <alignment horizontal="center" vertical="center" wrapText="1"/>
    </xf>
    <xf numFmtId="0" fontId="1" fillId="0" borderId="26" xfId="0" applyFont="1" applyBorder="1" applyAlignment="1">
      <alignment vertical="center" wrapText="1"/>
    </xf>
    <xf numFmtId="0" fontId="18" fillId="6" borderId="29" xfId="0" applyFont="1" applyFill="1" applyBorder="1" applyAlignment="1">
      <alignment vertical="center" wrapText="1"/>
    </xf>
    <xf numFmtId="0" fontId="18" fillId="6" borderId="28" xfId="0" applyFont="1" applyFill="1" applyBorder="1" applyAlignment="1">
      <alignment vertical="center" wrapText="1"/>
    </xf>
    <xf numFmtId="0" fontId="18" fillId="6" borderId="2" xfId="0" applyFont="1" applyFill="1" applyBorder="1" applyAlignment="1">
      <alignment vertical="center" wrapText="1"/>
    </xf>
    <xf numFmtId="0" fontId="18" fillId="11" borderId="29" xfId="0" applyFont="1" applyFill="1" applyBorder="1" applyAlignment="1">
      <alignment vertical="center" wrapText="1"/>
    </xf>
    <xf numFmtId="0" fontId="18" fillId="11" borderId="28" xfId="0" applyFont="1" applyFill="1" applyBorder="1" applyAlignment="1">
      <alignment vertical="center" wrapText="1"/>
    </xf>
    <xf numFmtId="0" fontId="18" fillId="11" borderId="2" xfId="0" applyFont="1" applyFill="1" applyBorder="1" applyAlignment="1">
      <alignment vertical="center" wrapText="1"/>
    </xf>
    <xf numFmtId="0" fontId="18" fillId="7" borderId="29" xfId="0" applyFont="1" applyFill="1" applyBorder="1" applyAlignment="1">
      <alignment vertical="center" wrapText="1"/>
    </xf>
    <xf numFmtId="0" fontId="18" fillId="7" borderId="28" xfId="0" applyFont="1" applyFill="1" applyBorder="1" applyAlignment="1">
      <alignment vertical="center" wrapText="1"/>
    </xf>
    <xf numFmtId="0" fontId="18" fillId="7" borderId="2" xfId="0" applyFont="1" applyFill="1" applyBorder="1" applyAlignment="1">
      <alignment vertical="center" wrapText="1"/>
    </xf>
    <xf numFmtId="0" fontId="18" fillId="12" borderId="29" xfId="0" applyFont="1" applyFill="1" applyBorder="1" applyAlignment="1">
      <alignment vertical="center" wrapText="1"/>
    </xf>
    <xf numFmtId="0" fontId="18" fillId="12" borderId="28" xfId="0" applyFont="1" applyFill="1" applyBorder="1" applyAlignment="1">
      <alignment vertical="center" wrapText="1"/>
    </xf>
    <xf numFmtId="0" fontId="18" fillId="12" borderId="2" xfId="0" applyFont="1" applyFill="1" applyBorder="1" applyAlignment="1">
      <alignment vertical="center" wrapText="1"/>
    </xf>
    <xf numFmtId="0" fontId="18" fillId="9" borderId="29" xfId="0" applyFont="1" applyFill="1" applyBorder="1" applyAlignment="1">
      <alignment vertical="center" wrapText="1"/>
    </xf>
    <xf numFmtId="0" fontId="18" fillId="9" borderId="28" xfId="0" applyFont="1" applyFill="1" applyBorder="1" applyAlignment="1">
      <alignment vertical="center" wrapText="1"/>
    </xf>
    <xf numFmtId="0" fontId="18" fillId="9" borderId="2" xfId="0" applyFont="1" applyFill="1" applyBorder="1" applyAlignment="1">
      <alignment vertical="center" wrapText="1"/>
    </xf>
    <xf numFmtId="0" fontId="18" fillId="13" borderId="29" xfId="0" applyFont="1" applyFill="1" applyBorder="1" applyAlignment="1">
      <alignment vertical="center" wrapText="1"/>
    </xf>
    <xf numFmtId="0" fontId="18" fillId="13" borderId="28" xfId="0" applyFont="1" applyFill="1" applyBorder="1" applyAlignment="1">
      <alignment vertical="center" wrapText="1"/>
    </xf>
    <xf numFmtId="0" fontId="18" fillId="13" borderId="2" xfId="0" applyFont="1" applyFill="1" applyBorder="1" applyAlignment="1">
      <alignment vertical="center" wrapText="1"/>
    </xf>
    <xf numFmtId="0" fontId="18" fillId="10" borderId="29" xfId="0" applyFont="1" applyFill="1" applyBorder="1" applyAlignment="1">
      <alignment vertical="center" wrapText="1"/>
    </xf>
    <xf numFmtId="0" fontId="18" fillId="10" borderId="28" xfId="0" applyFont="1" applyFill="1" applyBorder="1" applyAlignment="1">
      <alignment vertical="center" wrapText="1"/>
    </xf>
    <xf numFmtId="0" fontId="18" fillId="10" borderId="2" xfId="0" applyFont="1" applyFill="1" applyBorder="1" applyAlignment="1">
      <alignment vertical="center" wrapText="1"/>
    </xf>
    <xf numFmtId="0" fontId="18" fillId="15" borderId="29" xfId="0" applyFont="1" applyFill="1" applyBorder="1" applyAlignment="1">
      <alignment vertical="center" wrapText="1"/>
    </xf>
    <xf numFmtId="0" fontId="18" fillId="15" borderId="28" xfId="0" applyFont="1" applyFill="1" applyBorder="1" applyAlignment="1">
      <alignment vertical="center" wrapText="1"/>
    </xf>
    <xf numFmtId="0" fontId="18" fillId="15" borderId="2" xfId="0" applyFont="1" applyFill="1" applyBorder="1" applyAlignment="1">
      <alignment vertical="center" wrapText="1"/>
    </xf>
    <xf numFmtId="0" fontId="0" fillId="0" borderId="21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/>
    </xf>
    <xf numFmtId="0" fontId="15" fillId="0" borderId="13" xfId="0" applyFont="1" applyBorder="1" applyAlignment="1">
      <alignment horizontal="left"/>
    </xf>
    <xf numFmtId="0" fontId="15" fillId="0" borderId="19" xfId="0" applyFont="1" applyBorder="1" applyAlignment="1">
      <alignment horizontal="left"/>
    </xf>
    <xf numFmtId="0" fontId="0" fillId="2" borderId="0" xfId="0" applyFill="1" applyAlignment="1">
      <alignment horizontal="center" vertical="center"/>
    </xf>
    <xf numFmtId="0" fontId="5" fillId="5" borderId="0" xfId="0" applyFont="1" applyFill="1" applyAlignment="1">
      <alignment horizontal="center" vertical="center" wrapText="1"/>
    </xf>
    <xf numFmtId="0" fontId="5" fillId="3" borderId="0" xfId="0" applyFont="1" applyFill="1" applyAlignment="1">
      <alignment horizontal="center" vertical="center"/>
    </xf>
    <xf numFmtId="0" fontId="11" fillId="4" borderId="14" xfId="0" applyFont="1" applyFill="1" applyBorder="1" applyAlignment="1">
      <alignment horizontal="center" vertical="center"/>
    </xf>
    <xf numFmtId="0" fontId="15" fillId="0" borderId="12" xfId="0" applyFont="1" applyBorder="1" applyAlignment="1">
      <alignment horizontal="left"/>
    </xf>
    <xf numFmtId="0" fontId="15" fillId="0" borderId="17" xfId="0" applyFont="1" applyBorder="1" applyAlignment="1">
      <alignment horizontal="left"/>
    </xf>
    <xf numFmtId="0" fontId="0" fillId="0" borderId="10" xfId="0" quotePrefix="1" applyBorder="1" applyAlignment="1">
      <alignment horizontal="left" vertical="top" wrapText="1"/>
    </xf>
    <xf numFmtId="0" fontId="0" fillId="0" borderId="11" xfId="0" quotePrefix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16" xfId="0" quotePrefix="1" applyBorder="1" applyAlignment="1">
      <alignment horizontal="left" vertical="top" wrapText="1"/>
    </xf>
    <xf numFmtId="0" fontId="0" fillId="6" borderId="0" xfId="0" applyFill="1" applyAlignment="1">
      <alignment horizontal="center"/>
    </xf>
  </cellXfs>
  <cellStyles count="1">
    <cellStyle name="Standard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444500</xdr:colOff>
          <xdr:row>11</xdr:row>
          <xdr:rowOff>88900</xdr:rowOff>
        </xdr:from>
        <xdr:to>
          <xdr:col>3</xdr:col>
          <xdr:colOff>4089400</xdr:colOff>
          <xdr:row>15</xdr:row>
          <xdr:rowOff>495300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ED7D31"/>
                  </a:solidFill>
                  <a:latin typeface="Calibri"/>
                  <a:cs typeface="Calibri"/>
                </a:rPr>
                <a:t>Copy result to clipboard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977900</xdr:colOff>
          <xdr:row>6</xdr:row>
          <xdr:rowOff>127000</xdr:rowOff>
        </xdr:from>
        <xdr:to>
          <xdr:col>3</xdr:col>
          <xdr:colOff>3352800</xdr:colOff>
          <xdr:row>9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Calibri (Textkörper)"/>
                </a:rPr>
                <a:t>Clean Original (delete all)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6497D-F7DB-6841-AE73-A29EC0259D62}">
  <sheetPr codeName="Tabelle1"/>
  <dimension ref="D1:D36"/>
  <sheetViews>
    <sheetView workbookViewId="0"/>
  </sheetViews>
  <sheetFormatPr baseColWidth="10" defaultRowHeight="15.5"/>
  <cols>
    <col min="1" max="1" width="24.33203125" customWidth="1"/>
    <col min="2" max="2" width="48.6640625" customWidth="1"/>
    <col min="4" max="4" width="59.83203125" style="149" customWidth="1"/>
  </cols>
  <sheetData>
    <row r="1" spans="4:4" ht="16" customHeight="1">
      <c r="D1" s="149" t="s">
        <v>215</v>
      </c>
    </row>
    <row r="6" spans="4:4" ht="43" customHeight="1"/>
    <row r="15" spans="4:4" ht="28" customHeight="1"/>
    <row r="16" spans="4:4" ht="17" customHeight="1"/>
    <row r="17" ht="16" customHeight="1"/>
    <row r="18" ht="34" customHeight="1"/>
    <row r="19" ht="68" customHeight="1"/>
    <row r="20" ht="68" customHeight="1"/>
    <row r="21" ht="158" customHeight="1"/>
    <row r="22" ht="80" customHeight="1"/>
    <row r="35" ht="51" customHeight="1"/>
    <row r="36" ht="34" customHeight="1"/>
  </sheetData>
  <mergeCells count="1">
    <mergeCell ref="D1:D1048576"/>
  </mergeCells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py2CB">
                <anchor moveWithCells="1" sizeWithCells="1">
                  <from>
                    <xdr:col>3</xdr:col>
                    <xdr:colOff>444500</xdr:colOff>
                    <xdr:row>11</xdr:row>
                    <xdr:rowOff>88900</xdr:rowOff>
                  </from>
                  <to>
                    <xdr:col>3</xdr:col>
                    <xdr:colOff>4089400</xdr:colOff>
                    <xdr:row>15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n_Original">
                <anchor moveWithCells="1" sizeWithCells="1">
                  <from>
                    <xdr:col>3</xdr:col>
                    <xdr:colOff>977900</xdr:colOff>
                    <xdr:row>6</xdr:row>
                    <xdr:rowOff>127000</xdr:rowOff>
                  </from>
                  <to>
                    <xdr:col>3</xdr:col>
                    <xdr:colOff>3352800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BFF7E-1B4A-3A41-BA12-BCFDDE3D08F0}">
  <sheetPr codeName="Tabelle4"/>
  <dimension ref="A1:I18"/>
  <sheetViews>
    <sheetView workbookViewId="0">
      <selection activeCell="B4" sqref="B4"/>
    </sheetView>
  </sheetViews>
  <sheetFormatPr baseColWidth="10" defaultRowHeight="15.5"/>
  <sheetData>
    <row r="1" spans="1:9" ht="23.5" thickBot="1">
      <c r="A1" s="104" t="s">
        <v>199</v>
      </c>
      <c r="B1" s="105" t="s">
        <v>152</v>
      </c>
      <c r="C1" s="105" t="s">
        <v>152</v>
      </c>
      <c r="D1" s="105" t="s">
        <v>152</v>
      </c>
      <c r="E1" s="105" t="s">
        <v>152</v>
      </c>
      <c r="F1" s="105" t="s">
        <v>152</v>
      </c>
      <c r="G1" s="105" t="s">
        <v>152</v>
      </c>
      <c r="H1" s="105" t="s">
        <v>153</v>
      </c>
      <c r="I1" s="105" t="s">
        <v>154</v>
      </c>
    </row>
    <row r="2" spans="1:9" ht="16" thickBot="1">
      <c r="A2" s="106">
        <v>0</v>
      </c>
      <c r="B2" s="150" t="s">
        <v>155</v>
      </c>
      <c r="C2" s="151"/>
      <c r="D2" s="151"/>
      <c r="E2" s="151"/>
      <c r="F2" s="151"/>
      <c r="G2" s="152"/>
      <c r="H2" s="108"/>
      <c r="I2" s="108"/>
    </row>
    <row r="3" spans="1:9" ht="58" thickBot="1">
      <c r="A3" s="106">
        <v>1</v>
      </c>
      <c r="B3" s="109" t="s">
        <v>156</v>
      </c>
      <c r="C3" s="110" t="s">
        <v>157</v>
      </c>
      <c r="D3" s="111" t="s">
        <v>2</v>
      </c>
      <c r="E3" s="112" t="s">
        <v>158</v>
      </c>
      <c r="F3" s="113" t="s">
        <v>159</v>
      </c>
      <c r="G3" s="113" t="s">
        <v>160</v>
      </c>
      <c r="H3" s="108">
        <v>6</v>
      </c>
      <c r="I3" s="108">
        <v>30</v>
      </c>
    </row>
    <row r="4" spans="1:9" ht="46.5" thickBot="1">
      <c r="A4" s="106">
        <v>2</v>
      </c>
      <c r="B4" s="109" t="s">
        <v>161</v>
      </c>
      <c r="C4" s="110" t="s">
        <v>162</v>
      </c>
      <c r="D4" s="111" t="s">
        <v>163</v>
      </c>
      <c r="E4" s="112" t="s">
        <v>164</v>
      </c>
      <c r="F4" s="113" t="s">
        <v>165</v>
      </c>
      <c r="G4" s="114" t="s">
        <v>166</v>
      </c>
      <c r="H4" s="108">
        <v>6</v>
      </c>
      <c r="I4" s="108">
        <v>30</v>
      </c>
    </row>
    <row r="5" spans="1:9" ht="46.5" thickBot="1">
      <c r="A5" s="106">
        <v>3</v>
      </c>
      <c r="B5" s="115" t="s">
        <v>167</v>
      </c>
      <c r="C5" s="115" t="s">
        <v>168</v>
      </c>
      <c r="D5" s="111" t="s">
        <v>169</v>
      </c>
      <c r="E5" s="112" t="s">
        <v>170</v>
      </c>
      <c r="F5" s="116" t="s">
        <v>171</v>
      </c>
      <c r="G5" s="114" t="s">
        <v>172</v>
      </c>
      <c r="H5" s="108">
        <v>6</v>
      </c>
      <c r="I5" s="108">
        <v>30</v>
      </c>
    </row>
    <row r="6" spans="1:9" ht="23">
      <c r="A6" s="153">
        <v>4</v>
      </c>
      <c r="B6" s="155" t="s">
        <v>173</v>
      </c>
      <c r="C6" s="157" t="s">
        <v>174</v>
      </c>
      <c r="D6" s="157" t="s">
        <v>175</v>
      </c>
      <c r="E6" s="159" t="s">
        <v>176</v>
      </c>
      <c r="F6" s="161" t="s">
        <v>177</v>
      </c>
      <c r="G6" s="117" t="s">
        <v>178</v>
      </c>
      <c r="H6" s="153">
        <v>6</v>
      </c>
      <c r="I6" s="153">
        <v>30</v>
      </c>
    </row>
    <row r="7" spans="1:9" ht="16" thickBot="1">
      <c r="A7" s="154"/>
      <c r="B7" s="156"/>
      <c r="C7" s="158"/>
      <c r="D7" s="158"/>
      <c r="E7" s="160"/>
      <c r="F7" s="162"/>
      <c r="G7" s="118" t="s">
        <v>179</v>
      </c>
      <c r="H7" s="154"/>
      <c r="I7" s="154"/>
    </row>
    <row r="8" spans="1:9" ht="23">
      <c r="A8" s="153">
        <v>5</v>
      </c>
      <c r="B8" s="169" t="s">
        <v>180</v>
      </c>
      <c r="C8" s="171" t="s">
        <v>181</v>
      </c>
      <c r="D8" s="159" t="s">
        <v>182</v>
      </c>
      <c r="E8" s="159" t="s">
        <v>183</v>
      </c>
      <c r="F8" s="117" t="s">
        <v>178</v>
      </c>
      <c r="G8" s="117" t="s">
        <v>178</v>
      </c>
      <c r="H8" s="153">
        <v>6</v>
      </c>
      <c r="I8" s="153">
        <v>30</v>
      </c>
    </row>
    <row r="9" spans="1:9" ht="16" thickBot="1">
      <c r="A9" s="154"/>
      <c r="B9" s="170"/>
      <c r="C9" s="172"/>
      <c r="D9" s="160"/>
      <c r="E9" s="160"/>
      <c r="F9" s="118" t="s">
        <v>184</v>
      </c>
      <c r="G9" s="118" t="s">
        <v>185</v>
      </c>
      <c r="H9" s="154"/>
      <c r="I9" s="154"/>
    </row>
    <row r="10" spans="1:9" ht="24" customHeight="1" thickBot="1">
      <c r="A10" s="106">
        <v>6</v>
      </c>
      <c r="B10" s="150" t="s">
        <v>186</v>
      </c>
      <c r="C10" s="151"/>
      <c r="D10" s="152"/>
      <c r="E10" s="150" t="s">
        <v>187</v>
      </c>
      <c r="F10" s="151"/>
      <c r="G10" s="152"/>
      <c r="H10" s="108"/>
      <c r="I10" s="108">
        <v>30</v>
      </c>
    </row>
    <row r="11" spans="1:9" ht="16" thickBot="1">
      <c r="A11" s="107"/>
      <c r="B11" s="107"/>
      <c r="C11" s="107"/>
      <c r="D11" s="107"/>
      <c r="E11" s="107"/>
      <c r="F11" s="107"/>
      <c r="G11" s="107"/>
      <c r="H11" s="119"/>
      <c r="I11" s="120">
        <v>180</v>
      </c>
    </row>
    <row r="12" spans="1:9" ht="16" thickTop="1">
      <c r="A12" s="107"/>
      <c r="B12" s="107"/>
      <c r="C12" s="107"/>
      <c r="D12" s="107"/>
      <c r="E12" s="107"/>
      <c r="F12" s="107"/>
      <c r="G12" s="107"/>
      <c r="H12" s="107"/>
      <c r="I12" s="107"/>
    </row>
    <row r="13" spans="1:9" ht="16" thickBot="1">
      <c r="A13" s="107"/>
      <c r="B13" s="173" t="s">
        <v>188</v>
      </c>
      <c r="C13" s="173"/>
      <c r="D13" s="173"/>
      <c r="E13" s="107"/>
      <c r="F13" s="107"/>
      <c r="G13" s="107"/>
      <c r="H13" s="107"/>
      <c r="I13" s="107"/>
    </row>
    <row r="14" spans="1:9" ht="24" customHeight="1" thickBot="1">
      <c r="A14" s="119"/>
      <c r="B14" s="174" t="s">
        <v>189</v>
      </c>
      <c r="C14" s="175"/>
      <c r="D14" s="176"/>
      <c r="E14" s="177" t="s">
        <v>190</v>
      </c>
      <c r="F14" s="178"/>
      <c r="G14" s="179"/>
      <c r="H14" s="107"/>
      <c r="I14" s="107"/>
    </row>
    <row r="15" spans="1:9" ht="24" customHeight="1" thickBot="1">
      <c r="A15" s="119"/>
      <c r="B15" s="163" t="s">
        <v>191</v>
      </c>
      <c r="C15" s="164"/>
      <c r="D15" s="165"/>
      <c r="E15" s="166" t="s">
        <v>192</v>
      </c>
      <c r="F15" s="167"/>
      <c r="G15" s="168"/>
      <c r="H15" s="107"/>
      <c r="I15" s="107"/>
    </row>
    <row r="16" spans="1:9" ht="16" thickBot="1">
      <c r="A16" s="119"/>
      <c r="B16" s="180" t="s">
        <v>193</v>
      </c>
      <c r="C16" s="181"/>
      <c r="D16" s="182"/>
      <c r="E16" s="183" t="s">
        <v>194</v>
      </c>
      <c r="F16" s="184"/>
      <c r="G16" s="185"/>
      <c r="H16" s="107"/>
      <c r="I16" s="107"/>
    </row>
    <row r="17" spans="1:9" ht="16" thickBot="1">
      <c r="A17" s="119"/>
      <c r="B17" s="186" t="s">
        <v>195</v>
      </c>
      <c r="C17" s="187"/>
      <c r="D17" s="188"/>
      <c r="E17" s="189" t="s">
        <v>196</v>
      </c>
      <c r="F17" s="190"/>
      <c r="G17" s="191"/>
      <c r="H17" s="107"/>
      <c r="I17" s="107"/>
    </row>
    <row r="18" spans="1:9" ht="16" thickBot="1">
      <c r="A18" s="119"/>
      <c r="B18" s="192" t="s">
        <v>197</v>
      </c>
      <c r="C18" s="193"/>
      <c r="D18" s="194"/>
      <c r="E18" s="195" t="s">
        <v>198</v>
      </c>
      <c r="F18" s="196"/>
      <c r="G18" s="197"/>
      <c r="H18" s="107"/>
      <c r="I18" s="107"/>
    </row>
  </sheetData>
  <mergeCells count="29">
    <mergeCell ref="B16:D16"/>
    <mergeCell ref="E16:G16"/>
    <mergeCell ref="B17:D17"/>
    <mergeCell ref="E17:G17"/>
    <mergeCell ref="B18:D18"/>
    <mergeCell ref="E18:G18"/>
    <mergeCell ref="B15:D15"/>
    <mergeCell ref="E15:G15"/>
    <mergeCell ref="H6:H7"/>
    <mergeCell ref="I6:I7"/>
    <mergeCell ref="A8:A9"/>
    <mergeCell ref="B8:B9"/>
    <mergeCell ref="C8:C9"/>
    <mergeCell ref="D8:D9"/>
    <mergeCell ref="E8:E9"/>
    <mergeCell ref="H8:H9"/>
    <mergeCell ref="I8:I9"/>
    <mergeCell ref="B10:D10"/>
    <mergeCell ref="E10:G10"/>
    <mergeCell ref="B13:D13"/>
    <mergeCell ref="B14:D14"/>
    <mergeCell ref="E14:G14"/>
    <mergeCell ref="B2:G2"/>
    <mergeCell ref="A6:A7"/>
    <mergeCell ref="B6:B7"/>
    <mergeCell ref="C6:C7"/>
    <mergeCell ref="D6:D7"/>
    <mergeCell ref="E6:E7"/>
    <mergeCell ref="F6:F7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15116-56E4-4643-8489-2ED774AFD037}">
  <sheetPr codeName="Tabelle2"/>
  <dimension ref="A1:S242"/>
  <sheetViews>
    <sheetView workbookViewId="0">
      <pane xSplit="1" ySplit="2" topLeftCell="H42" activePane="bottomRight" state="frozen"/>
      <selection pane="topRight" activeCell="B1" sqref="B1"/>
      <selection pane="bottomLeft" activeCell="A3" sqref="A3"/>
      <selection pane="bottomRight" activeCell="M48" sqref="M48"/>
    </sheetView>
  </sheetViews>
  <sheetFormatPr baseColWidth="10" defaultRowHeight="15.5" outlineLevelCol="1"/>
  <cols>
    <col min="1" max="1" width="33" style="5" customWidth="1"/>
    <col min="2" max="2" width="28.1640625" style="5" customWidth="1"/>
    <col min="3" max="3" width="29" style="13" customWidth="1" outlineLevel="1"/>
    <col min="4" max="4" width="21.6640625" style="13" customWidth="1" outlineLevel="1"/>
    <col min="5" max="5" width="22.08203125" style="14" customWidth="1" outlineLevel="1"/>
    <col min="6" max="6" width="19.1640625" style="14" customWidth="1" outlineLevel="1"/>
    <col min="7" max="12" width="15.83203125" style="14" customWidth="1" outlineLevel="1"/>
    <col min="13" max="13" width="30.6640625" style="5" bestFit="1" customWidth="1"/>
    <col min="14" max="14" width="39" style="5" customWidth="1"/>
    <col min="15" max="15" width="45.83203125" style="5" customWidth="1"/>
    <col min="16" max="16" width="50.1640625" style="30" bestFit="1" customWidth="1"/>
    <col min="17" max="17" width="10.5" style="73" customWidth="1"/>
    <col min="18" max="18" width="23.1640625" style="30" bestFit="1" customWidth="1"/>
    <col min="19" max="19" width="10.83203125" style="9"/>
  </cols>
  <sheetData>
    <row r="1" spans="1:19" s="3" customFormat="1" ht="46" customHeight="1">
      <c r="A1" s="10" t="s">
        <v>42</v>
      </c>
      <c r="B1" s="4" t="s">
        <v>19</v>
      </c>
      <c r="C1" s="16" t="s">
        <v>62</v>
      </c>
      <c r="D1" s="11" t="s">
        <v>229</v>
      </c>
      <c r="E1" s="12" t="s">
        <v>230</v>
      </c>
      <c r="F1" s="12"/>
      <c r="G1" s="12"/>
      <c r="H1" s="12"/>
      <c r="I1" s="12"/>
      <c r="J1" s="12"/>
      <c r="K1" s="12"/>
      <c r="L1" s="12"/>
      <c r="M1" s="6"/>
      <c r="N1" s="6"/>
      <c r="O1" s="6"/>
      <c r="P1" s="69"/>
      <c r="Q1" s="205"/>
      <c r="R1" s="203" t="s">
        <v>73</v>
      </c>
      <c r="S1" s="204"/>
    </row>
    <row r="2" spans="1:19" s="2" customFormat="1" ht="30" customHeight="1">
      <c r="A2" s="18" t="s">
        <v>48</v>
      </c>
      <c r="B2" s="19" t="s">
        <v>43</v>
      </c>
      <c r="C2" s="20" t="s">
        <v>50</v>
      </c>
      <c r="D2" s="201" t="s">
        <v>42</v>
      </c>
      <c r="E2" s="201"/>
      <c r="F2" s="201"/>
      <c r="G2" s="201"/>
      <c r="H2" s="201"/>
      <c r="I2" s="201"/>
      <c r="J2" s="201"/>
      <c r="K2" s="97"/>
      <c r="L2" s="97"/>
      <c r="M2" s="19" t="s">
        <v>40</v>
      </c>
      <c r="N2" s="19" t="s">
        <v>150</v>
      </c>
      <c r="O2" s="19" t="s">
        <v>151</v>
      </c>
      <c r="P2" s="31" t="s">
        <v>41</v>
      </c>
      <c r="Q2" s="205"/>
      <c r="R2" s="203"/>
      <c r="S2" s="204"/>
    </row>
    <row r="3" spans="1:19" ht="15" customHeight="1">
      <c r="A3" s="21" t="s">
        <v>20</v>
      </c>
      <c r="B3" s="22" t="e">
        <f>IF(VLOOKUP(C3,Original!A:B,2,0)="",SUBSTITUTE(B4," ","_"),TRIM(VLOOKUP(C3,Original!A:B,2,0)))</f>
        <v>#N/A</v>
      </c>
      <c r="C3" s="23" t="s">
        <v>0</v>
      </c>
      <c r="D3" s="23"/>
      <c r="E3" s="24"/>
      <c r="F3" s="24"/>
      <c r="G3" s="24"/>
      <c r="H3" s="24"/>
      <c r="I3" s="24"/>
      <c r="J3" s="24"/>
      <c r="K3" s="24"/>
      <c r="L3" s="24"/>
      <c r="M3" s="22" t="e">
        <f>TRIM(SUBSTITUTE(SUBSTITUTE(B3," ","_"),",",""))</f>
        <v>#N/A</v>
      </c>
      <c r="N3" s="22" t="e">
        <f>_xlfn.CONCAT(A3,M3," a ","module:Module ;")</f>
        <v>#N/A</v>
      </c>
      <c r="O3" s="22"/>
      <c r="R3" s="203"/>
      <c r="S3" s="204"/>
    </row>
    <row r="4" spans="1:19" ht="15" customHeight="1">
      <c r="A4" s="21" t="s">
        <v>21</v>
      </c>
      <c r="B4" s="22" t="e">
        <f>TRIM(VLOOKUP(C4,Original!A:B,2,0))</f>
        <v>#N/A</v>
      </c>
      <c r="C4" s="23" t="s">
        <v>1</v>
      </c>
      <c r="D4" s="23"/>
      <c r="E4" s="24"/>
      <c r="F4" s="24"/>
      <c r="G4" s="24"/>
      <c r="H4" s="24"/>
      <c r="I4" s="24"/>
      <c r="J4" s="24"/>
      <c r="K4" s="24"/>
      <c r="L4" s="24"/>
      <c r="M4" s="22" t="e">
        <f>_xlfn.CONCAT(B$1,B4,B$1)</f>
        <v>#N/A</v>
      </c>
      <c r="N4" s="5" t="str">
        <f>""</f>
        <v/>
      </c>
      <c r="O4" s="38" t="e">
        <f>_xlfn.CONCAT(A4,M4," ;")</f>
        <v>#N/A</v>
      </c>
      <c r="R4" s="7" t="s">
        <v>91</v>
      </c>
      <c r="S4" s="8" t="s">
        <v>92</v>
      </c>
    </row>
    <row r="5" spans="1:19" ht="15" customHeight="1">
      <c r="A5" s="21" t="s">
        <v>22</v>
      </c>
      <c r="B5" s="22" t="e">
        <f>TRIM(VLOOKUP(C5,Original!A:B,2,0))</f>
        <v>#N/A</v>
      </c>
      <c r="C5" s="23" t="s">
        <v>1</v>
      </c>
      <c r="D5" s="23"/>
      <c r="E5" s="24"/>
      <c r="F5" s="24"/>
      <c r="G5" s="24"/>
      <c r="H5" s="24"/>
      <c r="I5" s="24"/>
      <c r="J5" s="24"/>
      <c r="K5" s="24"/>
      <c r="L5" s="24"/>
      <c r="M5" s="22" t="e">
        <f>_xlfn.CONCAT(B$1,B5,B$1)</f>
        <v>#N/A</v>
      </c>
      <c r="N5" s="5" t="str">
        <f>""</f>
        <v/>
      </c>
      <c r="O5" s="38" t="e">
        <f>_xlfn.CONCAT(A5,M5," ;")</f>
        <v>#N/A</v>
      </c>
      <c r="R5" s="30" t="s">
        <v>27</v>
      </c>
      <c r="S5" s="9" t="s">
        <v>32</v>
      </c>
    </row>
    <row r="6" spans="1:19" ht="15" customHeight="1">
      <c r="A6" s="21" t="s">
        <v>23</v>
      </c>
      <c r="B6" s="22" t="e">
        <f>TRIM(VLOOKUP(C6,Original!A:B,2,0))</f>
        <v>#N/A</v>
      </c>
      <c r="C6" s="23" t="s">
        <v>0</v>
      </c>
      <c r="D6" s="23"/>
      <c r="E6" s="24"/>
      <c r="F6" s="24"/>
      <c r="G6" s="24"/>
      <c r="H6" s="24"/>
      <c r="I6" s="24"/>
      <c r="J6" s="24"/>
      <c r="K6" s="24"/>
      <c r="L6" s="24"/>
      <c r="M6" s="22" t="e">
        <f>TRIM(SUBSTITUTE(SUBSTITUTE(_xlfn.CONCAT(B$1,B6,B$1)," ","_"),",",""))</f>
        <v>#N/A</v>
      </c>
      <c r="N6" s="5" t="str">
        <f>""</f>
        <v/>
      </c>
      <c r="O6" s="38" t="e">
        <f>_xlfn.CONCAT(A6,M6," ;")</f>
        <v>#N/A</v>
      </c>
      <c r="R6" s="30" t="s">
        <v>26</v>
      </c>
      <c r="S6" s="9" t="s">
        <v>93</v>
      </c>
    </row>
    <row r="7" spans="1:19" ht="15" customHeight="1">
      <c r="A7" s="21" t="s">
        <v>63</v>
      </c>
      <c r="B7" s="22" t="e">
        <f>TRIM(VLOOKUP(C7,Original!A:B,2,0))</f>
        <v>#N/A</v>
      </c>
      <c r="C7" s="23" t="s">
        <v>1</v>
      </c>
      <c r="D7" s="23"/>
      <c r="E7" s="25"/>
      <c r="F7" s="25"/>
      <c r="G7" s="25"/>
      <c r="H7" s="25"/>
      <c r="I7" s="25"/>
      <c r="J7" s="24"/>
      <c r="K7" s="24"/>
      <c r="L7" s="24"/>
      <c r="M7" s="22" t="e">
        <f>LOWER(SUBSTITUTE(B7," ","-"))</f>
        <v>#N/A</v>
      </c>
      <c r="N7" s="5" t="str">
        <f>""</f>
        <v/>
      </c>
      <c r="O7" s="38" t="e">
        <f>_xlfn.CONCAT(A7,B$1,"https://wirtschaft.th-brandenburg.de/studium/plaene-und-termine/vorlesungsverzeichnis/vorlesungsverzeichnis-wi-bachelor/",M7,B$1," ;")</f>
        <v>#N/A</v>
      </c>
      <c r="R7" s="30" t="s">
        <v>30</v>
      </c>
      <c r="S7" s="9" t="s">
        <v>94</v>
      </c>
    </row>
    <row r="8" spans="1:19" ht="31">
      <c r="A8" s="21" t="s">
        <v>64</v>
      </c>
      <c r="B8" s="22" t="e">
        <f>TRIM(VLOOKUP(C8,Original!A:B,2,0))</f>
        <v>#N/A</v>
      </c>
      <c r="C8" s="23" t="s">
        <v>3</v>
      </c>
      <c r="D8" s="24" t="e">
        <f>TRIM(MID(B8,1,LEN(B8)-LEN(J8)))</f>
        <v>#N/A</v>
      </c>
      <c r="E8" s="24"/>
      <c r="F8" s="24"/>
      <c r="G8" s="24"/>
      <c r="H8" s="24" t="str">
        <f>TRIM(SUBSTITUTE(SUBSTITUTE(IF(ISERROR(MID(D8,1,LEN(D8)-LEN(I8)-1)),"",MID(D8,1,LEN(D8)-LEN(I8)-1)),"/",""),",",""))</f>
        <v/>
      </c>
      <c r="I8" s="25" t="e" cm="1">
        <f t="array" ref="I8">SUBSTITUTE(SUBSTITUTE(MID(D8,MAX((MID(D8,COLUMN(1:1), 1)=" ")*COLUMN(1:1))+1,999),"/",""),",","")</f>
        <v>#N/A</v>
      </c>
      <c r="J8" s="24" t="e" cm="1">
        <f t="array" ref="J8">MID(B8,MAX((MID(B8,COLUMN(1:1), 1)=" ")*COLUMN(1:1))+1,999)</f>
        <v>#N/A</v>
      </c>
      <c r="K8" s="24"/>
      <c r="L8" s="23" t="e">
        <f>IF(LEN(H8)&lt;1,_xlfn.CONCAT(B$1,I8,B$1," , ",B$1,J8,B$1),IF(LEN(H8)&gt;35,_xlfn.CONCAT(B$1,B8,B$1),_xlfn.CONCAT(B$1,H8,B$1," , ",B$1,I8,B$1," , ",B$1,J8,B$1)))</f>
        <v>#N/A</v>
      </c>
      <c r="M8" s="22" t="e">
        <f>IF(ISERROR(FIND("eminar",B8)),L8,IF(ISERROR(FIND("ntegriert",B8)),L8,B8))</f>
        <v>#N/A</v>
      </c>
      <c r="N8" s="5" t="str">
        <f>""</f>
        <v/>
      </c>
      <c r="O8" s="38" t="e">
        <f>IF(ISERROR(FIND(")",M8)),_xlfn.CONCAT(A8,M8," ;"),_xlfn.CONCAT(A8,B$1,B8,B$1," ;"))</f>
        <v>#N/A</v>
      </c>
      <c r="P8" s="99"/>
      <c r="R8" s="30" t="s">
        <v>28</v>
      </c>
    </row>
    <row r="9" spans="1:19" ht="15" customHeight="1">
      <c r="A9" s="21" t="s">
        <v>65</v>
      </c>
      <c r="B9" s="22" t="e">
        <f>TRIM(SUBSTITUTE(SUBSTITUTE(VLOOKUP(C9,Original!A:B,2,0),"Prof ","Prof. ")," ",""))</f>
        <v>#N/A</v>
      </c>
      <c r="C9" s="23" t="s">
        <v>6</v>
      </c>
      <c r="D9" s="23" t="e">
        <f>IF(ISERROR(LEFT(B9,SEARCH(",",B9)-1)),TRIM(B9),LEFT(B9,SEARCH(",",B9)-1))</f>
        <v>#N/A</v>
      </c>
      <c r="E9" s="24" t="str">
        <f t="array" ref="E9">TRIM(IF(MAX(IF((R$5:R$1126&gt;"")*ISNUMBER(SEARCH(R$5:R$1126,D9)*1), ROW($1:$226), ))=0,"",INDEX(R$5:R$1126,MAX(IF((R$5:R$1126&gt;"")*ISNUMBER(SEARCH(R$5:R$1126,D9)*1), ROW($1:$226), )))))</f>
        <v/>
      </c>
      <c r="F9" s="24" t="e">
        <f>MID(D9,LEN(E9)+(E9&gt;"")+1,LEN(D9)-LEN(E9&amp;G9)-(E9&gt;"")-1)</f>
        <v>#N/A</v>
      </c>
      <c r="G9" s="24" t="e">
        <f t="array" ref="G9">TRIM(MID(D9,MAX((MID(D9,COLUMN($1:$1), 1)=" ")*COLUMN($1:$1))+1,999))</f>
        <v>#N/A</v>
      </c>
      <c r="H9" s="24" t="str">
        <f t="array" ref="H9">TRIM(IF(MAX(IF((S$4:S$1126&gt;"")*ISNUMBER(SEARCH(S$4:S$1126,D9)*1), ROW($1:$226), ))=0,"",INDEX(S$4:S$1126,MAX(IF((S$4:S$1126&gt;"")*ISNUMBER(SEARCH(S$4:S$1126,D9)*1), ROW($1:$226), )))&amp;" "))</f>
        <v/>
      </c>
      <c r="I9" s="24">
        <f>IF(ISERROR(TRIM(LEFT(F9,FIND(" ",F9)-1))),0,(TRIM(LEFT(F9,FIND(" ",F9)-1))))</f>
        <v>0</v>
      </c>
      <c r="J9" s="24" t="str">
        <f>TRIM(IF(ISERROR(RIGHT(F9,LEN(F9)-FIND(" ",F9))),0,RIGHT(F9,LEN(F9)-FIND(" ",F9))))</f>
        <v>0</v>
      </c>
      <c r="K9" s="24">
        <f>IF(ISERROR(MID(J9,FIND(" ",J9),55)),0,TRIM(MID(J9,FIND(" ",J9),55)))</f>
        <v>0</v>
      </c>
      <c r="L9" s="24" t="str">
        <f>TRIM(SUBSTITUTE(J9,K9,""))</f>
        <v/>
      </c>
      <c r="M9" s="22" t="e">
        <f>IF(ISERROR(LOWER(IF(AND(LEN(H9)&lt;1,LEN(L9)&lt;1),_xlfn.CONCAT(F9,"-",G9),IF(AND(LEN(H9)&lt;1,K9=0),_xlfn.CONCAT(I9,"-",G9),IF(AND(EXACT(G9,H9),ISTEXT(K9)),_xlfn.CONCAT(I9,"-",K9),IF(AND(EXACT(G9,H9),K9=0),_xlfn.CONCAT(I9,"-",L9),F9)))))),B9,LOWER(IF(AND(LEN(H9)&lt;1,LEN(L9)&lt;1),_xlfn.CONCAT(F9,"-",G9),IF(AND(LEN(H9)&lt;1,K9=0),_xlfn.CONCAT(I9,"-",G9),IF(AND(EXACT(G9,H9),ISTEXT(K9)),_xlfn.CONCAT(I9,"-",K9),IF(AND(EXACT(G9,H9),K9=0),_xlfn.CONCAT(I9,"-",L9),F9))))))</f>
        <v>#N/A</v>
      </c>
      <c r="N9" s="5" t="str">
        <f>""</f>
        <v/>
      </c>
      <c r="O9" s="38" t="e">
        <f t="shared" ref="O9:O24" si="0">_xlfn.CONCAT(A9,M9," ;")</f>
        <v>#N/A</v>
      </c>
      <c r="R9" s="30" t="s">
        <v>33</v>
      </c>
    </row>
    <row r="10" spans="1:19" ht="15" customHeight="1">
      <c r="A10" s="21" t="s">
        <v>35</v>
      </c>
      <c r="B10" s="22" t="e">
        <f>TRIM(VLOOKUP(C10,Original!A:B,2,0))</f>
        <v>#N/A</v>
      </c>
      <c r="C10" s="23" t="s">
        <v>18</v>
      </c>
      <c r="D10" s="129" t="e" cm="1">
        <f t="array" ref="D10">IF(INDEX(Original!$B:$B,MATCH($C10,Original!$A:$A,0)+1)=0," ; ",INDEX(Original!$B:$B,MATCH($C10,Original!$A:$A,0)+1))</f>
        <v>#N/A</v>
      </c>
      <c r="E10" s="129" t="e" cm="1">
        <f t="array" ref="E10">IF(INDEX(Original!$B:$B,MATCH($C10,Original!$A:$A,0)+2)=0," ; ",INDEX(Original!$B:$B,MATCH($C10,Original!$A:$A,0)+2))</f>
        <v>#N/A</v>
      </c>
      <c r="F10" s="129" t="e" cm="1">
        <f t="array" ref="F10">IF(INDEX(Original!$B:$B,MATCH($C10,Original!$A:$A,0)+3)=0," ; ",INDEX(Original!$B:$B,MATCH($C10,Original!$A:$A,0)+3))</f>
        <v>#N/A</v>
      </c>
      <c r="G10" s="129" t="e" cm="1">
        <f t="array" ref="G10">IF(INDEX(Original!$B:$B,MATCH($C10,Original!$A:$A,0)+4)=0," ; ",INDEX(Original!$B:$B,MATCH($C10,Original!$A:$A,0)+4))</f>
        <v>#N/A</v>
      </c>
      <c r="H10" s="129" t="e" cm="1">
        <f t="array" ref="H10">IF(INDEX(Original!$B:$B,MATCH($C10,Original!$A:$A,0)+5)=0," ; ",INDEX(Original!$B:$B,MATCH($C10,Original!$A:$A,0)+5))</f>
        <v>#N/A</v>
      </c>
      <c r="I10" s="23"/>
      <c r="J10" s="89" t="str" cm="1">
        <f t="array" ref="J10">IF(ISNA(D10),"",TRIM(SUBSTITUTE(SUBSTITUTE(SUBSTITUTE(SUBSTITUTE(LEFT(_xlfn.CONCAT(B10," ; ",D10," ; ",E10," ; ",F10," ; ",G10," ; ",H10," ; ",D11," ; ",E11," ; ",F11," ; ",G11," ; ",H11," ; ",D12," ; ",E12," ; ",F12," ; ",G12," ; ",H12," ; ",D13," ; ",E13," ; ",F13," ; ",G13," ; ",H13," ; ",D14," ; ",E14," ; ",F14," ; ",G14," ; ",H14," ; ",D15," ; ",E15," ; ",F15," ; ",G15," ; ",H15),SUM(LEN(B10),LEN(D10:H15))+90-SUM(D10:H15)-PRODUCT(SUM(D10:H15),3)),"","-&gt;"),"·      ",";"),"Keine","",1),"""","'")))</f>
        <v/>
      </c>
      <c r="K10" s="23" t="str">
        <f>SUBSTITUTE(J10," ; ;","")</f>
        <v/>
      </c>
      <c r="L10" s="24"/>
      <c r="M10" s="22" t="e">
        <f>IF(B10="",B1&amp;B1,TRIM(_xlfn.CONCAT(B$1,K10,B$1)))</f>
        <v>#N/A</v>
      </c>
      <c r="N10" s="5" t="str">
        <f>""</f>
        <v/>
      </c>
      <c r="O10" s="38" t="e">
        <f t="shared" si="0"/>
        <v>#N/A</v>
      </c>
      <c r="P10" s="99"/>
      <c r="R10" s="30" t="s">
        <v>34</v>
      </c>
    </row>
    <row r="11" spans="1:19" ht="15" customHeight="1">
      <c r="A11" s="21"/>
      <c r="B11" s="22"/>
      <c r="C11" s="23"/>
      <c r="D11" s="129" t="e" cm="1">
        <f t="array" ref="D11">IF(INDEX(Original!$B:$B,MATCH($C10,Original!$A:$A,0)+6)=0," ; ",INDEX(Original!$B:$B,MATCH($C10,Original!$A:$A,0)+6))</f>
        <v>#N/A</v>
      </c>
      <c r="E11" s="129" t="e" cm="1">
        <f t="array" ref="E11">IF(INDEX(Original!$B:$B,MATCH($C10,Original!$A:$A,0)+7)=0," ; ",INDEX(Original!$B:$B,MATCH($C10,Original!$A:$A,0)+7))</f>
        <v>#N/A</v>
      </c>
      <c r="F11" s="129" t="e" cm="1">
        <f t="array" ref="F11">IF(INDEX(Original!$B:$B,MATCH($C10,Original!$A:$A,0)+8)=0," ; ",INDEX(Original!$B:$B,MATCH($C10,Original!$A:$A,0)+8))</f>
        <v>#N/A</v>
      </c>
      <c r="G11" s="129" t="e" cm="1">
        <f t="array" ref="G11">IF(INDEX(Original!$B:$B,MATCH($C10,Original!$A:$A,0)+9)=0," ; ",INDEX(Original!$B:$B,MATCH($C10,Original!$A:$A,0)+9))</f>
        <v>#N/A</v>
      </c>
      <c r="H11" s="129" t="e" cm="1">
        <f t="array" ref="H11">IF(INDEX(Original!$B:$B,MATCH($C10,Original!$A:$A,0)+10)=0," ; ",INDEX(Original!$B:$B,MATCH($C10,Original!$A:$A,0)+10))</f>
        <v>#N/A</v>
      </c>
      <c r="I11" s="23"/>
      <c r="J11" s="89"/>
      <c r="K11" s="89"/>
      <c r="L11" s="24"/>
      <c r="M11" s="22"/>
      <c r="O11" s="38"/>
      <c r="P11" s="99"/>
    </row>
    <row r="12" spans="1:19" ht="15" customHeight="1">
      <c r="A12" s="21"/>
      <c r="B12" s="22"/>
      <c r="C12" s="23"/>
      <c r="D12" s="129" t="e" cm="1">
        <f t="array" ref="D12">IF(INDEX(Original!$B:$B,MATCH($C10,Original!$A:$A,0)+11)=0," ; ",INDEX(Original!$B:$B,MATCH($C10,Original!$A:$A,0)+11))</f>
        <v>#N/A</v>
      </c>
      <c r="E12" s="129" t="e" cm="1">
        <f t="array" ref="E12">IF(INDEX(Original!$B:$B,MATCH($C10,Original!$A:$A,0)+12)=0," ; ",INDEX(Original!$B:$B,MATCH($C10,Original!$A:$A,0)+12))</f>
        <v>#N/A</v>
      </c>
      <c r="F12" s="129" t="e" cm="1">
        <f t="array" ref="F12">IF(INDEX(Original!$B:$B,MATCH($C10,Original!$A:$A,0)+13)=0," ; ",INDEX(Original!$B:$B,MATCH($C10,Original!$A:$A,0)+13))</f>
        <v>#N/A</v>
      </c>
      <c r="G12" s="129" t="e" cm="1">
        <f t="array" ref="G12">IF(INDEX(Original!$B:$B,MATCH($C10,Original!$A:$A,0)+14)=0," ; ",INDEX(Original!$B:$B,MATCH($C10,Original!$A:$A,0)+14))</f>
        <v>#N/A</v>
      </c>
      <c r="H12" s="129" t="e" cm="1">
        <f t="array" ref="H12">IF(INDEX(Original!$B:$B,MATCH($C10,Original!$A:$A,0)+15)=0," ; ",INDEX(Original!$B:$B,MATCH($C10,Original!$A:$A,0)+15))</f>
        <v>#N/A</v>
      </c>
      <c r="I12" s="23"/>
      <c r="J12" s="24" t="e">
        <f>-PRODUCT(SUM(D17:H17),3)+PRODUCT(SUM(D17:H17,-5),-3)</f>
        <v>#N/A</v>
      </c>
      <c r="K12" s="24"/>
      <c r="L12" s="24"/>
      <c r="M12" s="22"/>
      <c r="O12" s="38"/>
      <c r="P12" s="99"/>
    </row>
    <row r="13" spans="1:19" ht="15" customHeight="1">
      <c r="A13" s="21"/>
      <c r="B13" s="22"/>
      <c r="C13" s="23"/>
      <c r="D13" s="129" t="e" cm="1">
        <f t="array" ref="D13">IF(INDEX(Original!$B:$B,MATCH($C10,Original!$A:$A,0)+16)=0," ; ",INDEX(Original!$B:$B,MATCH($C10,Original!$A:$A,0)+16))</f>
        <v>#N/A</v>
      </c>
      <c r="E13" s="129" t="e" cm="1">
        <f t="array" ref="E13">IF(INDEX(Original!$B:$B,MATCH($C10,Original!$A:$A,0)+17)=0," ; ",INDEX(Original!$B:$B,MATCH($C10,Original!$A:$A,0)+17))</f>
        <v>#N/A</v>
      </c>
      <c r="F13" s="129" t="e" cm="1">
        <f t="array" ref="F13">IF(INDEX(Original!$B:$B,MATCH($C10,Original!$A:$A,0)+18)=0," ; ",INDEX(Original!$B:$B,MATCH($C10,Original!$A:$A,0)+18))</f>
        <v>#N/A</v>
      </c>
      <c r="G13" s="129" t="e" cm="1">
        <f t="array" ref="G13">IF(INDEX(Original!$B:$B,MATCH($C10,Original!$A:$A,0)+19)=0," ; ",INDEX(Original!$B:$B,MATCH($C10,Original!$A:$A,0)+19))</f>
        <v>#N/A</v>
      </c>
      <c r="H13" s="129" t="e" cm="1">
        <f t="array" ref="H13">IF(INDEX(Original!$B:$B,MATCH($C10,Original!$A:$A,0)+20)=0," ; ",INDEX(Original!$B:$B,MATCH($C10,Original!$A:$A,0)+20))</f>
        <v>#N/A</v>
      </c>
      <c r="I13" s="23"/>
      <c r="J13" s="24"/>
      <c r="K13" s="24"/>
      <c r="L13" s="24"/>
      <c r="M13" s="22"/>
      <c r="O13" s="38"/>
      <c r="P13" s="99"/>
    </row>
    <row r="14" spans="1:19" ht="15" customHeight="1">
      <c r="A14" s="21"/>
      <c r="B14" s="22"/>
      <c r="C14" s="23"/>
      <c r="D14" s="129" t="e" cm="1">
        <f t="array" ref="D14">IF(INDEX(Original!$B:$B,MATCH($C10,Original!$A:$A,0)+21)=0," ; ",INDEX(Original!$B:$B,MATCH($C10,Original!$A:$A,0)+21))</f>
        <v>#N/A</v>
      </c>
      <c r="E14" s="129" t="e" cm="1">
        <f t="array" ref="E14">IF(INDEX(Original!$B:$B,MATCH($C10,Original!$A:$A,0)+22)=0," ; ",INDEX(Original!$B:$B,MATCH($C10,Original!$A:$A,0)+22))</f>
        <v>#N/A</v>
      </c>
      <c r="F14" s="129" t="e" cm="1">
        <f t="array" ref="F14">IF(INDEX(Original!$B:$B,MATCH($C10,Original!$A:$A,0)+23)=0," ; ",INDEX(Original!$B:$B,MATCH($C10,Original!$A:$A,0)+23))</f>
        <v>#N/A</v>
      </c>
      <c r="G14" s="129" t="e" cm="1">
        <f t="array" ref="G14">IF(INDEX(Original!$B:$B,MATCH($C10,Original!$A:$A,0)+24)=0," ; ",INDEX(Original!$B:$B,MATCH($C10,Original!$A:$A,0)+24))</f>
        <v>#N/A</v>
      </c>
      <c r="H14" s="129" t="e" cm="1">
        <f t="array" ref="H14">IF(INDEX(Original!$B:$B,MATCH($C10,Original!$A:$A,0)+25)=0," ; ",INDEX(Original!$B:$B,MATCH($C10,Original!$A:$A,0)+25))</f>
        <v>#N/A</v>
      </c>
      <c r="I14" s="23"/>
      <c r="J14" s="24"/>
      <c r="K14" s="24"/>
      <c r="L14" s="24"/>
      <c r="M14" s="22"/>
      <c r="O14" s="38"/>
      <c r="P14" s="99"/>
    </row>
    <row r="15" spans="1:19" ht="15" customHeight="1">
      <c r="A15" s="21"/>
      <c r="B15" s="22"/>
      <c r="C15" s="23"/>
      <c r="D15" s="129" t="e" cm="1">
        <f t="array" ref="D15">IF(INDEX(Original!$B:$B,MATCH($C10,Original!$A:$A,0)+26)=0," ; ",INDEX(Original!$B:$B,MATCH($C10,Original!$A:$A,0)+26))</f>
        <v>#N/A</v>
      </c>
      <c r="E15" s="129" t="e" cm="1">
        <f t="array" ref="E15">IF(INDEX(Original!$B:$B,MATCH($C10,Original!$A:$A,0)+27)=0," ; ",INDEX(Original!$B:$B,MATCH($C10,Original!$A:$A,0)+27))</f>
        <v>#N/A</v>
      </c>
      <c r="F15" s="129" t="e" cm="1">
        <f t="array" ref="F15">IF(INDEX(Original!$B:$B,MATCH($C10,Original!$A:$A,0)+28)=0," ; ",INDEX(Original!$B:$B,MATCH($C10,Original!$A:$A,0)+28))</f>
        <v>#N/A</v>
      </c>
      <c r="G15" s="129" t="e" cm="1">
        <f t="array" ref="G15">IF(INDEX(Original!$B:$B,MATCH($C10,Original!$A:$A,0)+29)=0," ; ",INDEX(Original!$B:$B,MATCH($C10,Original!$A:$A,0)+29))</f>
        <v>#N/A</v>
      </c>
      <c r="H15" s="129" t="e" cm="1">
        <f t="array" ref="H15">IF(INDEX(Original!$B:$B,MATCH($C10,Original!$A:$A,0)+30)=0," ; ",INDEX(Original!$B:$B,MATCH($C10,Original!$A:$A,0)+30))</f>
        <v>#N/A</v>
      </c>
      <c r="I15" s="23"/>
      <c r="J15" s="24"/>
      <c r="K15" s="24"/>
      <c r="L15" s="24"/>
      <c r="M15" s="22"/>
      <c r="O15" s="38"/>
      <c r="P15" s="99"/>
    </row>
    <row r="16" spans="1:19" ht="15" customHeight="1">
      <c r="A16" s="21" t="s">
        <v>24</v>
      </c>
      <c r="B16" s="142" t="s">
        <v>227</v>
      </c>
      <c r="C16" s="23" t="s">
        <v>8</v>
      </c>
      <c r="D16" s="23">
        <f>IF(ISERROR(SEARCH("De",B16,1)&gt;0),0,1)</f>
        <v>1</v>
      </c>
      <c r="E16" s="24">
        <f>IF(ISERROR(FIND("En",B16,1)=0),0,1)</f>
        <v>1</v>
      </c>
      <c r="F16" s="24"/>
      <c r="G16" s="24"/>
      <c r="H16" s="24"/>
      <c r="I16" s="24"/>
      <c r="J16" s="24"/>
      <c r="K16" s="24"/>
      <c r="L16" s="24"/>
      <c r="M16" s="22" t="str">
        <f>IF(D16-E16=0,"""de"" , ""en""",IF(D16-E16=1,"""de""",IF(D16-E16=-1,"""en""")))</f>
        <v>"de" , "en"</v>
      </c>
      <c r="N16" s="5" t="str">
        <f>""</f>
        <v/>
      </c>
      <c r="O16" s="38" t="str">
        <f t="shared" si="0"/>
        <v>schema:inLanguage "de" , "en" ;</v>
      </c>
      <c r="R16" s="30" t="s">
        <v>31</v>
      </c>
    </row>
    <row r="17" spans="1:18" ht="15" customHeight="1">
      <c r="A17" s="21" t="s">
        <v>25</v>
      </c>
      <c r="B17" s="22" t="e">
        <f>TRIM(VLOOKUP(C17,Original!A:B,2,0))</f>
        <v>#N/A</v>
      </c>
      <c r="C17" s="15" t="s">
        <v>16</v>
      </c>
      <c r="D17" s="129" t="e" cm="1">
        <f t="array" ref="D17">IF(INDEX(Original!$B:$B,MATCH($C17,Original!$A:$A,0)+1)=0," ; ",IF(EXACT(INDEX(Original!$B:$B,MATCH($C17,Original!$A:$A,0)+1),I17),1,INDEX(Original!$B:$B,MATCH($C17,Original!$A:$A,0)+1)))</f>
        <v>#N/A</v>
      </c>
      <c r="E17" s="24" t="e" cm="1">
        <f t="array" ref="E17">IF(EXACT(INDEX(Original!$B:$B,MATCH($C17,Original!$A:$A,0)+2),$I17),1,IF(D17=1,1,IF(INDEX(Original!$B:$B,MATCH($C17,Original!$A:$A,0)+2)=0," ; ",INDEX(Original!$B:$B,MATCH($C17,Original!$A:$A,0)+2))))</f>
        <v>#N/A</v>
      </c>
      <c r="F17" s="24" t="e" cm="1">
        <f t="array" ref="F17">IF(EXACT(INDEX(Original!$B:$B,MATCH($C17,Original!$A:$A,0)+3),$I17),1,IF(E17=1,1,IF(INDEX(Original!$B:$B,MATCH($C17,Original!$A:$A,0)+3)=0," ; ",INDEX(Original!$B:$B,MATCH($C17,Original!$A:$A,0)+3))))</f>
        <v>#N/A</v>
      </c>
      <c r="G17" s="24" t="e" cm="1">
        <f t="array" ref="G17">IF(EXACT(INDEX(Original!$B:$B,MATCH($C17,Original!$A:$A,0)+4),$I17),1,IF(F17=1,1,IF(INDEX(Original!$B:$B,MATCH($C17,Original!$A:$A,0)+4)=0," ; ",INDEX(Original!$B:$B,MATCH($C17,Original!$A:$A,0)+4))))</f>
        <v>#N/A</v>
      </c>
      <c r="H17" s="24" t="e" cm="1">
        <f t="array" ref="H17">IF(EXACT(INDEX(Original!$B:$B,MATCH($C17,Original!$A:$A,0)+5),$I17),1,IF(G17=1,1,IF(INDEX(Original!$B:$B,MATCH($C17,Original!$A:$A,0)+5)=0," ; ",INDEX(Original!$B:$B,MATCH($C17,Original!$A:$A,0)+5))))</f>
        <v>#N/A</v>
      </c>
      <c r="I17" s="23" t="e">
        <f>VLOOKUP(J17,Original!$A:$B,2,0)</f>
        <v>#N/A</v>
      </c>
      <c r="J17" s="89" t="s">
        <v>17</v>
      </c>
      <c r="K17" s="23" t="str" cm="1">
        <f t="array" ref="K17">IF(ISNA(D17),"",TRIM(SUBSTITUTE(SUBSTITUTE(SUBSTITUTE(SUBSTITUTE(LEFT(_xlfn.CONCAT(B17," ; ",D17," ; ",E17," ; ",F17," ; ",G17," ; ",H17," ; ",D18," ; ",E18," ; ",F18," ; ",G18," ; ",H18," ; ",D19," ; ",E19," ; ",F19," ; ",G19," ; ",H19," ; ",D20," ; ",E20," ; ",F20," ; ",G20," ; ",H20," ; ",D21," ; ",E21," ; ",F21," ; ",G21," ; ",H21," ; ",D22," ; ",E22," ; ",F22," ; ",G22," ; ",H22),SUM(LEN(B17),LEN(D17:H22))+90-SUM(D17:H22)-PRODUCT(SUM(D17:H22),3)),"","-&gt;"),"·      ",";"),"Keine","",1),"""","'")))</f>
        <v/>
      </c>
      <c r="L17" s="24"/>
      <c r="M17" s="22" t="str">
        <f>_xlfn.CONCAT(B$1,K17,B$1)</f>
        <v>""</v>
      </c>
      <c r="N17" s="5" t="str">
        <f>""</f>
        <v/>
      </c>
      <c r="O17" s="38" t="str">
        <f t="shared" si="0"/>
        <v>schema:interactivityType "" ;</v>
      </c>
      <c r="R17" s="30" t="s">
        <v>29</v>
      </c>
    </row>
    <row r="18" spans="1:18" ht="15" customHeight="1">
      <c r="A18" s="21"/>
      <c r="B18" s="22"/>
      <c r="C18" s="15"/>
      <c r="D18" s="24" t="e" cm="1">
        <f t="array" ref="D18">IF(EXACT(INDEX(Original!$B:$B,MATCH($C17,Original!$A:$A,0)+6),$I17),1,IF(H17=1,1,IF(INDEX(Original!$B:$B,MATCH($C17,Original!$A:$A,0)+6)=0," ; ",INDEX(Original!$B:$B,MATCH($C17,Original!$A:$A,0)+6))))</f>
        <v>#N/A</v>
      </c>
      <c r="E18" s="24" t="e" cm="1">
        <f t="array" ref="E18">IF(EXACT(INDEX(Original!$B:$B,MATCH($C17,Original!$A:$A,0)+7),$I17),1,IF(D18=1,1,IF(INDEX(Original!$B:$B,MATCH($C17,Original!$A:$A,0)+7)=0," ; ",INDEX(Original!$B:$B,MATCH($C17,Original!$A:$A,0)+7))))</f>
        <v>#N/A</v>
      </c>
      <c r="F18" s="24" t="e" cm="1">
        <f t="array" ref="F18">IF(EXACT(INDEX(Original!$B:$B,MATCH($C17,Original!$A:$A,0)+8),$I17),1,IF(E18=1,1,IF(INDEX(Original!$B:$B,MATCH($C17,Original!$A:$A,0)+8)=0," ; ",INDEX(Original!$B:$B,MATCH($C17,Original!$A:$A,0)+8))))</f>
        <v>#N/A</v>
      </c>
      <c r="G18" s="24" t="e" cm="1">
        <f t="array" ref="G18">IF(EXACT(INDEX(Original!$B:$B,MATCH($C17,Original!$A:$A,0)+9),$I17),1,IF(F18=1,1,IF(INDEX(Original!$B:$B,MATCH($C17,Original!$A:$A,0)+9)=0," ; ",INDEX(Original!$B:$B,MATCH($C17,Original!$A:$A,0)+9))))</f>
        <v>#N/A</v>
      </c>
      <c r="H18" s="24" t="e" cm="1">
        <f t="array" ref="H18">IF(EXACT(INDEX(Original!$B:$B,MATCH($C17,Original!$A:$A,0)+10),$I17),1,IF(G18=1,1,IF(INDEX(Original!$B:$B,MATCH($C17,Original!$A:$A,0)+10)=0," ; ",INDEX(Original!$B:$B,MATCH($C17,Original!$A:$A,0)+10))))</f>
        <v>#N/A</v>
      </c>
      <c r="I18" s="23"/>
      <c r="J18" s="89"/>
      <c r="K18" s="89"/>
      <c r="L18" s="24"/>
      <c r="M18" s="22"/>
      <c r="O18" s="38"/>
    </row>
    <row r="19" spans="1:18" ht="15" customHeight="1">
      <c r="A19" s="21"/>
      <c r="B19" s="22"/>
      <c r="C19" s="15"/>
      <c r="D19" s="24" t="e" cm="1">
        <f t="array" ref="D19">IF(EXACT(INDEX(Original!$B:$B,MATCH($C17,Original!$A:$A,0)+11),$I17),1,IF(H18=1,1,IF(INDEX(Original!$B:$B,MATCH($C17,Original!$A:$A,0)+11)=0," ; ",INDEX(Original!$B:$B,MATCH($C17,Original!$A:$A,0)+11))))</f>
        <v>#N/A</v>
      </c>
      <c r="E19" s="24" t="e" cm="1">
        <f t="array" ref="E19">IF(EXACT(INDEX(Original!$B:$B,MATCH($C17,Original!$A:$A,0)+12),$I185),1,IF(D19=1,1,IF(INDEX(Original!$B:$B,MATCH($C17,Original!$A:$A,0)+12)=0," ; ",INDEX(Original!$B:$B,MATCH($C17,Original!$A:$A,0)+12))))</f>
        <v>#N/A</v>
      </c>
      <c r="F19" s="24" t="e" cm="1">
        <f t="array" ref="F19">IF(EXACT(INDEX(Original!$B:$B,MATCH($C17,Original!$A:$A,0)+13),$I17),1,IF(E19=1,1,IF(INDEX(Original!$B:$B,MATCH($C17,Original!$A:$A,0)+13)=0," ; ",INDEX(Original!$B:$B,MATCH($C17,Original!$A:$A,0)+13))))</f>
        <v>#N/A</v>
      </c>
      <c r="G19" s="24" t="e" cm="1">
        <f t="array" ref="G19">IF(EXACT(INDEX(Original!$B:$B,MATCH($C17,Original!$A:$A,0)+14),$I17),1,IF(F19=1,1,IF(INDEX(Original!$B:$B,MATCH($C17,Original!$A:$A,0)+14)=0," ; ",INDEX(Original!$B:$B,MATCH($C17,Original!$A:$A,0)+14))))</f>
        <v>#N/A</v>
      </c>
      <c r="H19" s="24" t="e" cm="1">
        <f t="array" ref="H19">IF(EXACT(INDEX(Original!$B:$B,MATCH($C17,Original!$A:$A,0)+15),$I17),1,IF(G19=1,1,IF(INDEX(Original!$B:$B,MATCH($C17,Original!$A:$A,0)+15)=0," ; ",INDEX(Original!$B:$B,MATCH($C17,Original!$A:$A,0)+15))))</f>
        <v>#N/A</v>
      </c>
      <c r="I19" s="23"/>
      <c r="J19" s="89"/>
      <c r="K19" s="89"/>
      <c r="L19" s="24"/>
      <c r="M19" s="22"/>
      <c r="O19" s="38"/>
    </row>
    <row r="20" spans="1:18" ht="15" customHeight="1">
      <c r="A20" s="21"/>
      <c r="B20" s="22"/>
      <c r="C20" s="15"/>
      <c r="D20" s="24" t="e" cm="1">
        <f t="array" ref="D20">IF(EXACT(INDEX(Original!$B:$B,MATCH($C17,Original!$A:$A,0)+16),$I17),1,IF(H19=1,1,IF(INDEX(Original!$B:$B,MATCH($C17,Original!$A:$A,0)+16)=0," ; ",INDEX(Original!$B:$B,MATCH($C17,Original!$A:$A,0)+16))))</f>
        <v>#N/A</v>
      </c>
      <c r="E20" s="24" t="e" cm="1">
        <f t="array" ref="E20">IF(EXACT(INDEX(Original!$B:$B,MATCH($C17,Original!$A:$A,0)+17),$I17),1,IF(D20=1,1,IF(INDEX(Original!$B:$B,MATCH($C17,Original!$A:$A,0)+17)=0," ; ",INDEX(Original!$B:$B,MATCH($C17,Original!$A:$A,0)+17))))</f>
        <v>#N/A</v>
      </c>
      <c r="F20" s="24" t="e" cm="1">
        <f t="array" ref="F20">IF(EXACT(INDEX(Original!$B:$B,MATCH($C17,Original!$A:$A,0)+18),$I17),1,IF(E20=1,1,IF(INDEX(Original!$B:$B,MATCH($C17,Original!$A:$A,0)+18)=0," ; ",INDEX(Original!$B:$B,MATCH($C17,Original!$A:$A,0)+18))))</f>
        <v>#N/A</v>
      </c>
      <c r="G20" s="24" t="e" cm="1">
        <f t="array" ref="G20">IF(EXACT(INDEX(Original!$B:$B,MATCH($C17,Original!$A:$A,0)+19),$I17),1,IF(F20=1,1,IF(INDEX(Original!$B:$B,MATCH($C17,Original!$A:$A,0)+19)=0," ; ",INDEX(Original!$B:$B,MATCH($C17,Original!$A:$A,0)+19))))</f>
        <v>#N/A</v>
      </c>
      <c r="H20" s="24" t="e" cm="1">
        <f t="array" ref="H20">IF(EXACT(INDEX(Original!$B:$B,MATCH($C17,Original!$A:$A,0)+20),$I17),1,IF(G20=1,1,IF(INDEX(Original!$B:$B,MATCH($C17,Original!$A:$A,0)+20)=0," ; ",INDEX(Original!$B:$B,MATCH($C17,Original!$A:$A,0)+20))))</f>
        <v>#N/A</v>
      </c>
      <c r="I20" s="23"/>
      <c r="J20" s="89"/>
      <c r="K20" s="89"/>
      <c r="L20" s="24"/>
      <c r="M20" s="22"/>
      <c r="O20" s="38"/>
    </row>
    <row r="21" spans="1:18" ht="15" customHeight="1">
      <c r="A21" s="21"/>
      <c r="B21" s="22"/>
      <c r="C21" s="15"/>
      <c r="D21" s="24" t="e" cm="1">
        <f t="array" ref="D21">IF(EXACT(INDEX(Original!$B:$B,MATCH($C17,Original!$A:$A,0)+21),$I17),1,IF(H20=1,1,IF(INDEX(Original!$B:$B,MATCH($C17,Original!$A:$A,0)+21)=0," ; ",INDEX(Original!$B:$B,MATCH($C17,Original!$A:$A,0)+21))))</f>
        <v>#N/A</v>
      </c>
      <c r="E21" s="24" t="e" cm="1">
        <f t="array" ref="E21">IF(EXACT(INDEX(Original!$B:$B,MATCH($C17,Original!$A:$A,0)+22),$I17),1,IF(D21=1,1,IF(INDEX(Original!$B:$B,MATCH($C17,Original!$A:$A,0)+22)=0," ; ",INDEX(Original!$B:$B,MATCH($C17,Original!$A:$A,0)+22))))</f>
        <v>#N/A</v>
      </c>
      <c r="F21" s="24" t="e" cm="1">
        <f t="array" ref="F21">IF(EXACT(INDEX(Original!$B:$B,MATCH($C17,Original!$A:$A,0)+23),$I17),1,IF(E21=1,1,IF(INDEX(Original!$B:$B,MATCH($C17,Original!$A:$A,0)+23)=0," ; ",INDEX(Original!$B:$B,MATCH($C17,Original!$A:$A,0)+23))))</f>
        <v>#N/A</v>
      </c>
      <c r="G21" s="24" t="e" cm="1">
        <f t="array" ref="G21">IF(EXACT(INDEX(Original!$B:$B,MATCH($C17,Original!$A:$A,0)+24),$I17),1,IF(F21=1,1,IF(INDEX(Original!$B:$B,MATCH($C17,Original!$A:$A,0)+24)=0," ; ",INDEX(Original!$B:$B,MATCH($C17,Original!$A:$A,0)+24))))</f>
        <v>#N/A</v>
      </c>
      <c r="H21" s="24" t="e" cm="1">
        <f t="array" ref="H21">IF(EXACT(INDEX(Original!$B:$B,MATCH($C17,Original!$A:$A,0)+25),$I17),1,IF(G21=1,1,IF(INDEX(Original!$B:$B,MATCH($C17,Original!$A:$A,0)+25)=0," ; ",INDEX(Original!$B:$B,MATCH($C17,Original!$A:$A,0)+25))))</f>
        <v>#N/A</v>
      </c>
      <c r="I21" s="23"/>
      <c r="J21" s="89"/>
      <c r="K21" s="89"/>
      <c r="L21" s="24"/>
      <c r="M21" s="22"/>
      <c r="O21" s="38"/>
    </row>
    <row r="22" spans="1:18" ht="15" customHeight="1">
      <c r="A22" s="21"/>
      <c r="B22" s="22"/>
      <c r="C22" s="15"/>
      <c r="D22" s="23" t="e" cm="1">
        <f t="array" ref="D22">IF(EXACT(INDEX(Original!$B:$B,MATCH($C17,Original!$A:$A,0)+26),$I17),1,IF(H21=1,1,IF(INDEX(Original!$B:$B,MATCH($C17,Original!$A:$A,0)+26)=0," ; ",INDEX(Original!$B:$B,MATCH($C17,Original!$A:$A,0)+26))))</f>
        <v>#N/A</v>
      </c>
      <c r="E22" s="23" t="e" cm="1">
        <f t="array" ref="E22">IF(EXACT(INDEX(Original!$B:$B,MATCH($C17,Original!$A:$A,0)+27),$I17),1,IF(D22=1,1,IF(INDEX(Original!$B:$B,MATCH($C17,Original!$A:$A,0)+27)=0," ; ",INDEX(Original!$B:$B,MATCH($C17,Original!$A:$A,0)+27))))</f>
        <v>#N/A</v>
      </c>
      <c r="F22" s="23" t="e" cm="1">
        <f t="array" ref="F22">IF(EXACT(INDEX(Original!$B:$B,MATCH($C17,Original!$A:$A,0)+28),$I17),1,IF(E22=1,1,IF(INDEX(Original!$B:$B,MATCH($C17,Original!$A:$A,0)+28)=0," ; ",INDEX(Original!$B:$B,MATCH($C17,Original!$A:$A,0)+28))))</f>
        <v>#N/A</v>
      </c>
      <c r="G22" s="23" t="e" cm="1">
        <f t="array" ref="G22">IF(EXACT(INDEX(Original!$B:$B,MATCH($C17,Original!$A:$A,0)+29),$I17),1,IF(F22=1,1,IF(INDEX(Original!$B:$B,MATCH($C17,Original!$A:$A,0)+29)=0," ; ",INDEX(Original!$B:$B,MATCH($C17,Original!$A:$A,0)+29))))</f>
        <v>#N/A</v>
      </c>
      <c r="H22" s="23" t="e" cm="1">
        <f t="array" ref="H22">IF(EXACT(INDEX(Original!$B:$B,MATCH($C17,Original!$A:$A,0)+30),$I17),1,IF(G22=1,1,IF(INDEX(Original!$B:$B,MATCH($C17,Original!$A:$A,0)+30)=0," ; ",INDEX(Original!$B:$B,MATCH($C17,Original!$A:$A,0)+30))))</f>
        <v>#N/A</v>
      </c>
      <c r="I22" s="23"/>
      <c r="J22" s="89"/>
      <c r="K22" s="89"/>
      <c r="L22" s="24"/>
      <c r="M22" s="22"/>
      <c r="O22" s="38"/>
    </row>
    <row r="23" spans="1:18" ht="15" customHeight="1">
      <c r="A23" s="21" t="s">
        <v>37</v>
      </c>
      <c r="B23" s="22" t="e">
        <f>TRIM(VLOOKUP(C23,Original!A:B,2,0))</f>
        <v>#N/A</v>
      </c>
      <c r="C23" s="23" t="s">
        <v>5</v>
      </c>
      <c r="D23" s="23"/>
      <c r="E23" s="24"/>
      <c r="F23" s="24"/>
      <c r="G23" s="24"/>
      <c r="H23" s="24"/>
      <c r="I23" s="24"/>
      <c r="J23" s="24"/>
      <c r="K23" s="24"/>
      <c r="L23" s="24"/>
      <c r="M23" s="22" t="e">
        <f>_xlfn.CONCAT(B$1,B23,B$1)</f>
        <v>#N/A</v>
      </c>
      <c r="N23" s="5" t="str">
        <f>""</f>
        <v/>
      </c>
      <c r="O23" s="38" t="e">
        <f t="shared" si="0"/>
        <v>#N/A</v>
      </c>
      <c r="R23" s="30" t="s">
        <v>202</v>
      </c>
    </row>
    <row r="24" spans="1:18" ht="15" customHeight="1">
      <c r="A24" s="21" t="s">
        <v>36</v>
      </c>
      <c r="B24" s="22" t="e">
        <f>IF(ISNA(VLOOKUP(C24,Original!A:B,2,0)),(VLOOKUP(L24,Original!A:B,2,0)),VLOOKUP(C24,Original!A:B,2,0))</f>
        <v>#N/A</v>
      </c>
      <c r="C24" s="23" t="s">
        <v>216</v>
      </c>
      <c r="D24" s="23" t="e">
        <f t="array" ref="D24">1*MID(B24,MATCH(TRUE,ISNUMBER(1*MID(B24,ROW($1:$9),1)),0),COUNT(1*MID(B24,ROW($1:$9),1)))</f>
        <v>#N/A</v>
      </c>
      <c r="E24" s="23" t="e" cm="1">
        <f t="array" ref="E24">LOOKUP(9^9,1*LEFT(B24,COLUMN(A1:IV1)))</f>
        <v>#N/A</v>
      </c>
      <c r="F24" s="24"/>
      <c r="G24" s="24"/>
      <c r="H24" s="23"/>
      <c r="I24" s="24"/>
      <c r="J24" s="23"/>
      <c r="K24" s="23"/>
      <c r="L24" s="23" t="s">
        <v>222</v>
      </c>
      <c r="M24" s="22" t="e">
        <f>IF(ISNA(E24),_xlfn.CONCAT(B$1,"PT",LEFT(D24,3),"H",B$1),_xlfn.CONCAT(B$1,"PT",E24,"H",B$1))</f>
        <v>#N/A</v>
      </c>
      <c r="N24" s="5" t="str">
        <f>""</f>
        <v/>
      </c>
      <c r="O24" s="38" t="e">
        <f t="shared" si="0"/>
        <v>#N/A</v>
      </c>
      <c r="R24" s="30" t="s">
        <v>95</v>
      </c>
    </row>
    <row r="25" spans="1:18" ht="15" customHeight="1">
      <c r="A25" s="135" t="s">
        <v>221</v>
      </c>
      <c r="B25" s="22" t="e">
        <f>VLOOKUP(C25,Original!A:B,2,0)</f>
        <v>#N/A</v>
      </c>
      <c r="C25" s="26" t="s">
        <v>9</v>
      </c>
      <c r="D25" s="129" t="e" cm="1">
        <f t="array" ref="D25">IF(IF(EXACT(INDEX(Original!$B:$B,MATCH(LEN(B25),LEN(Original!$B:$B),0)+1),I25),1,INDEX(Original!$B:$B,MATCH(LEN(B25),LEN(Original!$B:$B),0)+1))=0,"xxUMBRUCHxx",IF(EXACT(INDEX(Original!$B:$B,MATCH(LEN(B25),LEN(Original!$B:$B),0)+1),I25),1,INDEX(Original!$B:$B,MATCH(LEN(B25),LEN(Original!$B:$B),0)+1)))</f>
        <v>#N/A</v>
      </c>
      <c r="E25" s="24" t="e" cm="1">
        <f t="array" ref="E25">IF(IF(EXACT(INDEX(Original!$B:$B,MATCH(LEN(B25),LEN(Original!$B:$B),0)+2),I25),1,IF(D25=1,1,INDEX(Original!$B:$B,MATCH(LEN(B25),LEN(Original!$B:$B),0)+2)))=0,"xxUMBRUCHxx",IF(EXACT(INDEX(Original!$B:$B,MATCH(LEN(B25),LEN(Original!$B:$B),0)+2),I25),1,IF(D25=1,1,INDEX(Original!$B:$B,MATCH(LEN(B25),LEN(Original!$B:$B),0)+2))))</f>
        <v>#N/A</v>
      </c>
      <c r="F25" s="24" t="e" cm="1">
        <f t="array" ref="F25">IF(IF(EXACT(INDEX(Original!$B:$B,MATCH(LEN(B25),LEN(Original!$B:$B),0)+3),I25),1,IF(E25=1,1,INDEX(Original!$B:$B,MATCH(LEN(B25),LEN(Original!$B:$B),0)+3)))=0,"xxUMBRUCHxx",IF(EXACT(INDEX(Original!$B:$B,MATCH(LEN(B25),LEN(Original!$B:$B),0)+3),I25),1,IF(E25=1,1,INDEX(Original!$B:$B,MATCH(LEN(B25),LEN(Original!$B:$B),0)+3))))</f>
        <v>#N/A</v>
      </c>
      <c r="G25" s="23" t="e" cm="1">
        <f t="array" ref="G25">IF(IF(EXACT(INDEX(Original!$B:$B,MATCH(LEN(B25),LEN(Original!$B:$B),0)+4),I25),1,IF(F25=1,1,INDEX(Original!$B:$B,MATCH(LEN(B25),LEN(Original!$B:$B),0)+4)))=0,"xxUMBRUCHxx",IF(EXACT(INDEX(Original!$B:$B,MATCH(LEN(B25),LEN(Original!$B:$B),0)+4),I25),1,IF(F25=1,1,INDEX(Original!$B:$B,MATCH(LEN(B25),LEN(Original!$B:$B),0)+4))))</f>
        <v>#N/A</v>
      </c>
      <c r="H25" s="24" t="e" cm="1">
        <f t="array" ref="H25">IF(IF(EXACT(INDEX(Original!$B:$B,MATCH(LEN(B25),LEN(Original!$B:$B),0)+5),I25),1,IF(G25=1,1,INDEX(Original!$B:$B,MATCH(LEN(B25),LEN(Original!$B:$B),0)+5)))=0,"xxUMBRUCHxx",IF(EXACT(INDEX(Original!$B:$B,MATCH(LEN(B25),LEN(Original!$B:$B),0)+5),I25),1,IF(G25=1,1,INDEX(Original!$B:$B,MATCH(LEN(B25),LEN(Original!$B:$B),0)+5))))</f>
        <v>#N/A</v>
      </c>
      <c r="I25" s="24" t="e">
        <f>VLOOKUP(J25,Original!$A:$B,2,0)</f>
        <v>#N/A</v>
      </c>
      <c r="J25" s="23" t="s">
        <v>10</v>
      </c>
      <c r="K25" s="23" t="e" cm="1">
        <f t="array" ref="K25">SUBSTITUTE(SUBSTITUTE(SUBSTITUTE(SUBSTITUTE(LEFT(_xlfn.CONCAT(B25,D25:H26),SUM(LEN(B25),LEN(D25:H26))-SUM(D25:H26)),"","-&gt; "),"·      ",";"),"xxUMBRUCHxx"," ; "),"Keine","",1)</f>
        <v>#N/A</v>
      </c>
      <c r="L25" s="23"/>
      <c r="M25" s="38" t="e">
        <f>IF(LEN(K25)&lt;1,_xlfn.CONCAT(A25,B$1,B$1," ;"),IF(LEN(K25)&gt;7,_xlfn.CONCAT(A25,B$1,K25,B$1," ;")))</f>
        <v>#N/A</v>
      </c>
      <c r="N25" s="5" t="str">
        <f>""</f>
        <v/>
      </c>
      <c r="O25" s="38" t="e">
        <f>M25</f>
        <v>#N/A</v>
      </c>
      <c r="P25" s="137"/>
      <c r="R25" s="30" t="s">
        <v>96</v>
      </c>
    </row>
    <row r="26" spans="1:18" ht="15" customHeight="1">
      <c r="A26" s="135"/>
      <c r="B26" s="22"/>
      <c r="C26" s="26"/>
      <c r="D26" s="129" t="e" cm="1">
        <f t="array" ref="D26">IF(IF(EXACT(INDEX(Original!$B:$B,MATCH(LEN(B25),LEN(Original!$B:$B),0)+6),I25),1,IF(H25=1,1,INDEX(Original!$B:$B,MATCH(LEN(B25),LEN(Original!$B:$B),0)+6)))=0,"xxUMBRUCHxx",IF(EXACT(INDEX(Original!$B:$B,MATCH(LEN(B25),LEN(Original!$B:$B),0)+6),I25),1,IF(H25=1,1,INDEX(Original!$B:$B,MATCH(LEN(B25),LEN(Original!$B:$B),0)+6))))</f>
        <v>#N/A</v>
      </c>
      <c r="E26" s="24" t="e" cm="1">
        <f t="array" ref="E26">IF(IF(EXACT(INDEX(Original!$B:$B,MATCH(LEN(B25),LEN(Original!$B:$B),0)+7),I25),1,IF(D26=1,1,INDEX(Original!$B:$B,MATCH(LEN(B25),LEN(Original!$B:$B),0)+7)))=0,"xxUMBRUCHxx",IF(EXACT(INDEX(Original!$B:$B,MATCH(LEN(B25),LEN(Original!$B:$B),0)+7),I25),1,IF(D26=1,1,INDEX(Original!$B:$B,MATCH(LEN(B25),LEN(Original!$B:$B),0)+7))))</f>
        <v>#N/A</v>
      </c>
      <c r="F26" s="24" t="e" cm="1">
        <f t="array" ref="F26">IF(IF(EXACT(INDEX(Original!$B:$B,MATCH(LEN(B25),LEN(Original!$B:$B),0)+8),I25),1,IF(E26=1,1,INDEX(Original!$B:$B,MATCH(LEN(B25),LEN(Original!$B:$B),0)+8)))=0,"xxUMBRUCHxx",IF(EXACT(INDEX(Original!$B:$B,MATCH(LEN(B25),LEN(Original!$B:$B),0)+8),I25),1,IF(E26=1,1,INDEX(Original!$B:$B,MATCH(LEN(B25),LEN(Original!$B:$B),0)+8))))</f>
        <v>#N/A</v>
      </c>
      <c r="G26" s="23" t="e" cm="1">
        <f t="array" ref="G26">IF(IF(EXACT(INDEX(Original!$B:$B,MATCH(LEN(B25),LEN(Original!$B:$B),0)+9),I25),1,IF(F26=1,1,INDEX(Original!$B:$B,MATCH(LEN(B25),LEN(Original!$B:$B),0)+9)))=0,"xxUMBRUCHxx",IF(EXACT(INDEX(Original!$B:$B,MATCH(LEN(B25),LEN(Original!$B:$B),0)+9),I25),1,IF(F26=1,1,INDEX(Original!$B:$B,MATCH(LEN(B25),LEN(Original!$B:$B),0)+9))))</f>
        <v>#N/A</v>
      </c>
      <c r="H26" s="89" t="e" cm="1">
        <f t="array" ref="H26">IF(IF(EXACT(INDEX(Original!$B:$B,MATCH(LEN(B25),LEN(Original!$B:$B),0)+10),I25),1,IF(G26=1,1,INDEX(Original!$B:$B,MATCH(LEN(B25),LEN(Original!$B:$B),0)+10)))=0,"xxUMBRUCHxx",IF(EXACT(INDEX(Original!$B:$B,MATCH(LEN(B25),LEN(Original!$B:$B),0)+10),I25),1,IF(G26=1,1,INDEX(Original!$B:$B,MATCH(LEN(B25),LEN(Original!$B:$B),0)+10))))</f>
        <v>#N/A</v>
      </c>
      <c r="I26" s="24"/>
      <c r="J26" s="24"/>
      <c r="K26" s="24"/>
      <c r="L26" s="24"/>
      <c r="M26" s="22"/>
      <c r="N26" s="5" t="str">
        <f>""</f>
        <v/>
      </c>
      <c r="O26" s="38"/>
      <c r="P26" s="99"/>
      <c r="R26" s="30" t="s">
        <v>220</v>
      </c>
    </row>
    <row r="27" spans="1:18" ht="15" customHeight="1">
      <c r="A27" s="21" t="s">
        <v>102</v>
      </c>
      <c r="B27" s="22"/>
      <c r="C27" s="26"/>
      <c r="D27" s="129"/>
      <c r="E27" s="24"/>
      <c r="F27" s="24"/>
      <c r="G27" s="23"/>
      <c r="H27" s="89"/>
      <c r="I27" s="24"/>
      <c r="J27" s="24"/>
      <c r="K27" s="24"/>
      <c r="L27" s="24"/>
      <c r="M27" s="22"/>
      <c r="N27" s="5" t="str">
        <f>""</f>
        <v/>
      </c>
      <c r="O27" s="38" t="str">
        <f>_xlfn.CONCAT("#",A27,"module:STG_Module"," ;")</f>
        <v>#schema:isBasedOn module:STG_Module ;</v>
      </c>
      <c r="P27" s="99"/>
      <c r="R27" s="74" t="s">
        <v>223</v>
      </c>
    </row>
    <row r="28" spans="1:18" ht="15" customHeight="1">
      <c r="A28" s="21" t="s">
        <v>38</v>
      </c>
      <c r="B28" s="22" t="e">
        <f>TRIM(VLOOKUP(C28,Original!A:B,2,0))</f>
        <v>#N/A</v>
      </c>
      <c r="C28" s="26" t="s">
        <v>10</v>
      </c>
      <c r="D28" s="26"/>
      <c r="E28" s="24"/>
      <c r="F28" s="24"/>
      <c r="G28" s="24"/>
      <c r="H28" s="24"/>
      <c r="I28" s="24"/>
      <c r="J28" s="24"/>
      <c r="K28" s="24"/>
      <c r="L28" s="24"/>
      <c r="M28" s="22" t="e">
        <f>_xlfn.CONCAT(B$1,B28,B$1)</f>
        <v>#N/A</v>
      </c>
      <c r="N28" s="5" t="str">
        <f>""</f>
        <v/>
      </c>
      <c r="O28" s="38" t="e">
        <f>_xlfn.CONCAT(A28,M28," ;")</f>
        <v>#N/A</v>
      </c>
      <c r="R28" s="74" t="s">
        <v>97</v>
      </c>
    </row>
    <row r="29" spans="1:18" ht="15" customHeight="1">
      <c r="A29" s="52" t="s">
        <v>75</v>
      </c>
      <c r="B29" s="22" t="e">
        <f>TRIM(VLOOKUP(C29,Original!A:B,2,0))</f>
        <v>#N/A</v>
      </c>
      <c r="C29" s="23" t="s">
        <v>1</v>
      </c>
      <c r="D29" s="23" t="e" cm="1">
        <f t="array" ref="D29">MAX(IF(WiSoSe_Finder!A1:H10=B29,ROW(WiSoSe_Finder!A1:H10)))</f>
        <v>#N/A</v>
      </c>
      <c r="E29" s="24" t="e">
        <f>IF(EVEN(D29)=D29,"So20_","Wi19_")</f>
        <v>#N/A</v>
      </c>
      <c r="F29" s="24"/>
      <c r="G29" s="24"/>
      <c r="H29" s="24"/>
      <c r="I29" s="24"/>
      <c r="J29" s="24"/>
      <c r="K29" s="24"/>
      <c r="L29" s="24"/>
      <c r="M29" s="22" t="e">
        <f>M$3</f>
        <v>#N/A</v>
      </c>
      <c r="N29" s="5" t="str">
        <f>""</f>
        <v/>
      </c>
      <c r="O29" s="22" t="e">
        <f>_xlfn.CONCAT(A29,"module:",E29,M29," ;")</f>
        <v>#N/A</v>
      </c>
      <c r="R29" s="74"/>
    </row>
    <row r="30" spans="1:18" ht="15" customHeight="1">
      <c r="A30" s="52" t="s">
        <v>76</v>
      </c>
      <c r="D30" s="23"/>
      <c r="E30" s="23"/>
      <c r="F30" s="24"/>
      <c r="G30" s="24"/>
      <c r="H30" s="24"/>
      <c r="I30" s="24"/>
      <c r="J30" s="24"/>
      <c r="K30" s="24"/>
      <c r="L30" s="24"/>
      <c r="M30" s="22" t="e">
        <f t="shared" ref="M30:M38" si="1">M$3</f>
        <v>#N/A</v>
      </c>
      <c r="N30" s="5" t="str">
        <f>""</f>
        <v/>
      </c>
      <c r="O30" s="22" t="e">
        <f>_xlfn.CONCAT(A30,"module:LResults_",M30," ;")</f>
        <v>#N/A</v>
      </c>
      <c r="R30" s="74" t="s">
        <v>224</v>
      </c>
    </row>
    <row r="31" spans="1:18" ht="15" customHeight="1">
      <c r="A31" s="52" t="s">
        <v>77</v>
      </c>
      <c r="B31" s="22"/>
      <c r="C31" s="23"/>
      <c r="D31" s="26"/>
      <c r="E31" s="24"/>
      <c r="F31" s="24"/>
      <c r="G31" s="24"/>
      <c r="H31" s="24"/>
      <c r="I31" s="24"/>
      <c r="J31" s="24"/>
      <c r="K31" s="24"/>
      <c r="L31" s="24"/>
      <c r="M31" s="22" t="e">
        <f t="shared" si="1"/>
        <v>#N/A</v>
      </c>
      <c r="N31" s="5" t="str">
        <f>""</f>
        <v/>
      </c>
      <c r="O31" s="22" t="e">
        <f>_xlfn.CONCAT(A31,"module:Content_",M31," ;")</f>
        <v>#N/A</v>
      </c>
    </row>
    <row r="32" spans="1:18" ht="15" customHeight="1">
      <c r="A32" s="52" t="s">
        <v>78</v>
      </c>
      <c r="B32" s="22"/>
      <c r="C32" s="23"/>
      <c r="D32" s="134"/>
      <c r="E32" s="24"/>
      <c r="F32" s="24"/>
      <c r="G32" s="24"/>
      <c r="H32" s="24"/>
      <c r="I32" s="24"/>
      <c r="J32" s="24"/>
      <c r="K32" s="24"/>
      <c r="L32" s="24"/>
      <c r="M32" s="22" t="e">
        <f t="shared" si="1"/>
        <v>#N/A</v>
      </c>
      <c r="N32" s="5" t="str">
        <f>""</f>
        <v/>
      </c>
      <c r="O32" s="22" t="e">
        <f>_xlfn.CONCAT(A32,"module:Exam_",M32," ;")</f>
        <v>#N/A</v>
      </c>
    </row>
    <row r="33" spans="1:17" ht="15" customHeight="1">
      <c r="A33" s="52" t="s">
        <v>79</v>
      </c>
      <c r="B33" s="22"/>
      <c r="C33" s="23"/>
      <c r="D33" s="26"/>
      <c r="E33" s="24"/>
      <c r="F33" s="24"/>
      <c r="G33" s="24"/>
      <c r="H33" s="24"/>
      <c r="I33" s="24"/>
      <c r="J33" s="24"/>
      <c r="K33" s="24"/>
      <c r="L33" s="24"/>
      <c r="M33" s="22" t="e">
        <f t="shared" si="1"/>
        <v>#N/A</v>
      </c>
      <c r="N33" s="5" t="str">
        <f>""</f>
        <v/>
      </c>
      <c r="O33" s="22" t="e">
        <f>_xlfn.CONCAT(A33,"module:TeachingForms_",M33," ;")</f>
        <v>#N/A</v>
      </c>
    </row>
    <row r="34" spans="1:17" ht="15" customHeight="1">
      <c r="A34" s="52" t="s">
        <v>80</v>
      </c>
      <c r="B34" s="22"/>
      <c r="C34" s="23"/>
      <c r="D34" s="26"/>
      <c r="E34" s="24"/>
      <c r="F34" s="24"/>
      <c r="G34" s="24"/>
      <c r="H34" s="24"/>
      <c r="I34" s="24"/>
      <c r="J34" s="24"/>
      <c r="K34" s="24"/>
      <c r="L34" s="24"/>
      <c r="M34" s="22" t="e">
        <f t="shared" si="1"/>
        <v>#N/A</v>
      </c>
      <c r="N34" s="5" t="str">
        <f>""</f>
        <v/>
      </c>
      <c r="O34" s="22" t="e">
        <f>_xlfn.CONCAT(A34,"module:CompWL_",M34," ;")</f>
        <v>#N/A</v>
      </c>
    </row>
    <row r="35" spans="1:17" ht="15" customHeight="1">
      <c r="A35" s="52" t="s">
        <v>81</v>
      </c>
      <c r="B35" s="22"/>
      <c r="C35" s="23"/>
      <c r="D35" s="26"/>
      <c r="E35" s="24"/>
      <c r="F35" s="24"/>
      <c r="G35" s="24"/>
      <c r="H35" s="24"/>
      <c r="I35" s="24"/>
      <c r="J35" s="24"/>
      <c r="K35" s="24"/>
      <c r="L35" s="24"/>
      <c r="M35" s="22" t="e">
        <f t="shared" si="1"/>
        <v>#N/A</v>
      </c>
      <c r="N35" s="5" t="str">
        <f>""</f>
        <v/>
      </c>
      <c r="O35" s="22" t="e">
        <f>_xlfn.CONCAT(A35,"module:Curr_WIB_",M35," ;")</f>
        <v>#N/A</v>
      </c>
    </row>
    <row r="36" spans="1:17" ht="15" customHeight="1">
      <c r="A36" s="52" t="s">
        <v>82</v>
      </c>
      <c r="B36" s="22"/>
      <c r="C36" s="23"/>
      <c r="D36" s="26"/>
      <c r="E36" s="24"/>
      <c r="F36" s="24"/>
      <c r="G36" s="24"/>
      <c r="H36" s="24"/>
      <c r="I36" s="24"/>
      <c r="J36" s="24"/>
      <c r="K36" s="24"/>
      <c r="L36" s="24"/>
      <c r="M36" s="22" t="e">
        <f t="shared" si="1"/>
        <v>#N/A</v>
      </c>
      <c r="N36" s="5" t="str">
        <f>""</f>
        <v/>
      </c>
      <c r="O36" s="22" t="e">
        <f>_xlfn.CONCAT(A36,"module:ModuleType_WIB_",M36," ;")</f>
        <v>#N/A</v>
      </c>
    </row>
    <row r="37" spans="1:17" ht="15" customHeight="1">
      <c r="A37" s="52" t="s">
        <v>83</v>
      </c>
      <c r="B37" s="22"/>
      <c r="C37" s="23"/>
      <c r="D37" s="26"/>
      <c r="E37" s="24"/>
      <c r="F37" s="24"/>
      <c r="G37" s="24"/>
      <c r="H37" s="24"/>
      <c r="I37" s="24"/>
      <c r="J37" s="24"/>
      <c r="K37" s="24"/>
      <c r="L37" s="24"/>
      <c r="M37" s="22" t="e">
        <f t="shared" si="1"/>
        <v>#N/A</v>
      </c>
      <c r="N37" s="5" t="str">
        <f>""</f>
        <v/>
      </c>
      <c r="O37" s="22" t="e">
        <f>_xlfn.CONCAT(A37,"module:SWS_WIB_",M37," ;")</f>
        <v>#N/A</v>
      </c>
    </row>
    <row r="38" spans="1:17" ht="15" customHeight="1">
      <c r="A38" s="63" t="s">
        <v>84</v>
      </c>
      <c r="B38" s="22"/>
      <c r="C38" s="23"/>
      <c r="D38" s="26"/>
      <c r="E38" s="24"/>
      <c r="F38" s="24"/>
      <c r="G38" s="24"/>
      <c r="H38" s="24"/>
      <c r="I38" s="24"/>
      <c r="J38" s="24"/>
      <c r="K38" s="24"/>
      <c r="L38" s="24"/>
      <c r="M38" s="22" t="e">
        <f t="shared" si="1"/>
        <v>#N/A</v>
      </c>
      <c r="N38" s="5" t="str">
        <f>""</f>
        <v/>
      </c>
      <c r="O38" s="22" t="e">
        <f>_xlfn.CONCAT(A38,"module:Grade_WIB_",M38," .")</f>
        <v>#N/A</v>
      </c>
    </row>
    <row r="39" spans="1:17">
      <c r="A39" s="40"/>
      <c r="B39" s="41"/>
      <c r="C39" s="42"/>
      <c r="D39" s="42"/>
      <c r="E39" s="43"/>
      <c r="F39" s="43"/>
      <c r="G39" s="43"/>
      <c r="H39" s="43"/>
      <c r="I39" s="43"/>
      <c r="J39" s="43"/>
      <c r="K39" s="43"/>
      <c r="L39" s="43"/>
      <c r="M39" s="41"/>
      <c r="N39" s="41"/>
      <c r="O39" s="41"/>
      <c r="P39" s="70"/>
    </row>
    <row r="40" spans="1:17" ht="46.5">
      <c r="A40" s="45" t="s">
        <v>56</v>
      </c>
      <c r="B40" s="51" t="e">
        <f>IF(LEN(E41)=LEN(VLOOKUP(C40,Original!A:B,2,0)),"",IF(LEN(I41)=LEN(VLOOKUP(C40,Original!A:B,2,0)),"",VLOOKUP(C40,Original!A:B,2,0)))</f>
        <v>#N/A</v>
      </c>
      <c r="C40" s="23" t="s">
        <v>7</v>
      </c>
      <c r="D40" s="202"/>
      <c r="E40" s="202"/>
      <c r="F40" s="202"/>
      <c r="G40" s="202"/>
      <c r="H40" s="202"/>
      <c r="I40" s="202"/>
      <c r="J40" s="202"/>
      <c r="K40" s="98"/>
      <c r="L40" s="98"/>
      <c r="M40" s="46"/>
      <c r="N40" s="46"/>
      <c r="O40" s="46"/>
      <c r="P40" s="60"/>
      <c r="Q40" s="72"/>
    </row>
    <row r="41" spans="1:17" ht="61" customHeight="1">
      <c r="A41" s="48" t="s">
        <v>217</v>
      </c>
      <c r="B41" s="129" t="e">
        <f>TRIM(SUBSTITUTE(SUBSTITUTE(SUBSTITUTE(B40," /",","),", LL.M. "," LL.M."),", N.N."," N.N."))</f>
        <v>#N/A</v>
      </c>
      <c r="D41" s="132" t="s">
        <v>218</v>
      </c>
      <c r="E41" s="133" t="s">
        <v>219</v>
      </c>
      <c r="F41" s="133" t="str">
        <f>MID(E41,5,50)</f>
        <v>essorinnen u. Professoren der Wirtschaftsinformati</v>
      </c>
      <c r="G41" s="132" t="s">
        <v>8</v>
      </c>
      <c r="H41" s="23" t="e">
        <f>VLOOKUP(G41,Original!$A:$B,2,0)</f>
        <v>#N/A</v>
      </c>
      <c r="I41" s="23" t="s">
        <v>225</v>
      </c>
      <c r="J41" s="133" t="str">
        <f>MID(I41,5,35)</f>
        <v xml:space="preserve"> im Studiengang lehrenden Hochschul</v>
      </c>
      <c r="K41" s="132"/>
      <c r="L41" s="132"/>
      <c r="M41" s="46"/>
      <c r="N41" s="46"/>
      <c r="O41" s="46"/>
      <c r="P41" s="60"/>
      <c r="Q41" s="72"/>
    </row>
    <row r="42" spans="1:17" ht="15" customHeight="1">
      <c r="A42" s="45" t="s">
        <v>57</v>
      </c>
      <c r="B42" s="129" t="e" cm="1">
        <f t="array" ref="B42">IF(ISERROR(FIND(INDEX(Original!$B:$B,MATCH(LEN(B40),LEN(Original!$B:$B),0)+1),H41)),INDEX(Original!$B:$B,MATCH(LEN(B40),LEN(Original!$B:$B),0)+1),1)</f>
        <v>#N/A</v>
      </c>
      <c r="C42" s="47"/>
      <c r="D42" s="49"/>
      <c r="E42" s="49"/>
      <c r="F42" s="49"/>
      <c r="G42" s="49"/>
      <c r="H42" s="49"/>
      <c r="I42" s="49"/>
      <c r="J42" s="49"/>
      <c r="K42" s="98"/>
      <c r="L42" s="98"/>
      <c r="M42" s="22" t="str">
        <f>IF(ISERROR(LOWER(IF(AND(LEN(H44)&lt;1,LEN(L44)&lt;1),_xlfn.CONCAT(F44,"-",G44),IF(AND(LEN(H44)&lt;1,K44=0),_xlfn.CONCAT(I44,"-",G44),IF(AND(EXACT(G44,H44),ISTEXT(K44)),_xlfn.CONCAT(I44,"-",K44),IF(AND(EXACT(G44,H44),K44=0),_xlfn.CONCAT(I44,"-",L44),F44)))))),"vorname-nachname",LOWER(IF(AND(LEN(H44)&lt;1,LEN(L44)&lt;1),_xlfn.CONCAT(F44,"-",G44),IF(AND(LEN(H44)&lt;1,K44=0),_xlfn.CONCAT(I44,"-",G44),IF(AND(EXACT(G44,H44),ISTEXT(K44)),_xlfn.CONCAT(I44,"-",K44),IF(AND(EXACT(G44,H44),K44=0),_xlfn.CONCAT(I44,"-",L44),F44))))))</f>
        <v>vorname-nachname</v>
      </c>
      <c r="N42" s="50" t="str">
        <f>_xlfn.CONCAT("thb-fbwm:",M42," a module:Lecturer ;")</f>
        <v>thb-fbwm:vorname-nachname a module:Lecturer ;</v>
      </c>
      <c r="O42" s="61" t="str">
        <f>""</f>
        <v/>
      </c>
      <c r="P42" s="60"/>
      <c r="Q42" s="72"/>
    </row>
    <row r="43" spans="1:17" ht="15" customHeight="1">
      <c r="A43" s="21" t="s">
        <v>71</v>
      </c>
      <c r="B43" s="129" t="e">
        <f>IF(B42=1,"",IF(B42=B40,"",_xlfn.CONCAT(", ",B42)))</f>
        <v>#N/A</v>
      </c>
      <c r="C43" s="47"/>
      <c r="D43" s="49"/>
      <c r="E43" s="49"/>
      <c r="F43" s="49"/>
      <c r="G43" s="49"/>
      <c r="H43" s="49"/>
      <c r="I43" s="49"/>
      <c r="J43" s="49"/>
      <c r="K43" s="98"/>
      <c r="L43" s="98"/>
      <c r="M43" s="51" t="str">
        <f>_xlfn.CONCAT(B$1,"http://orcid.org/xxx",B$1)</f>
        <v>"http://orcid.org/xxx"</v>
      </c>
      <c r="N43" s="61" t="str">
        <f>""</f>
        <v/>
      </c>
      <c r="O43" s="22" t="str">
        <f>_xlfn.CONCAT(A43,M43," ;")</f>
        <v>schema:sameAs "http://orcid.org/xxx" ;</v>
      </c>
      <c r="P43" s="60"/>
      <c r="Q43" s="72"/>
    </row>
    <row r="44" spans="1:17" ht="46" customHeight="1">
      <c r="A44" s="21" t="s">
        <v>51</v>
      </c>
      <c r="B44" s="22" t="e">
        <f>TRIM(_xlfn.CONCAT(SUBSTITUTE(SUBSTITUTE(SUBSTITUTE(B41&amp;B43,D41,""),"Prof ","Prof. ")," ","")))</f>
        <v>#N/A</v>
      </c>
      <c r="C44" s="23"/>
      <c r="D44" s="23" t="e">
        <f>TRIM(IF(ISERROR(LEFT(B44,FIND(",",B44))),B44,LEFT(B44,SEARCH(",",B44)-1)))</f>
        <v>#N/A</v>
      </c>
      <c r="E44" s="24" t="str">
        <f t="array" ref="E44">TRIM(IF(MAX(IF((R$5:R$1126&gt;"")*ISNUMBER(SEARCH(R$5:R$1126,D44)*1), ROW($1:$226), ))=0,"",INDEX(R$5:R$1126,MAX(IF((R$5:R$1126&gt;"")*ISNUMBER(SEARCH(R$5:R$1126,D44)*1), ROW($1:$226), )))))</f>
        <v/>
      </c>
      <c r="F44" s="24" t="e">
        <f>MID(D44,LEN(E44)+(E44&gt;"")+1,LEN(D44)-LEN(E44&amp;G44)-(E44&gt;"")-1)</f>
        <v>#N/A</v>
      </c>
      <c r="G44" s="24" t="e">
        <f t="array" ref="G44">TRIM(MID(D44,MAX((MID(D44,COLUMN($1:$1), 1)=" ")*COLUMN($1:$1))+1,999))</f>
        <v>#N/A</v>
      </c>
      <c r="H44" s="24" t="str">
        <f t="array" ref="H44">TRIM(IF(MAX(IF((S$4:S$1126&gt;"")*ISNUMBER(SEARCH(S$4:S$1126,D44)*1), ROW($1:$226), ))=0,"",INDEX(S$4:S$1126,MAX(IF((S$4:S$1126&gt;"")*ISNUMBER(SEARCH(S$4:S$1126,D44)*1), ROW($1:$226), )))&amp;" "))</f>
        <v/>
      </c>
      <c r="I44" s="24">
        <f>IF(ISERROR(TRIM(LEFT(F44,FIND(" ",F44)-1))),0,(TRIM(LEFT(F44,FIND(" ",F44)-1))))</f>
        <v>0</v>
      </c>
      <c r="J44" s="24" t="str">
        <f>TRIM(IF(ISERROR(RIGHT(F44,LEN(F44)-FIND(" ",F44))),0,RIGHT(F44,LEN(F44)-FIND(" ",F44))))</f>
        <v>0</v>
      </c>
      <c r="K44" s="24">
        <f>IF(ISERROR(MID(J44,FIND(" ",J44),55)),0,TRIM(MID(J44,FIND(" ",J44),55)))</f>
        <v>0</v>
      </c>
      <c r="L44" s="24" t="str">
        <f>TRIM(SUBSTITUTE(J44,K44,""))</f>
        <v/>
      </c>
      <c r="M44" s="22" t="str">
        <f>IF(ISERROR(IF(AND(LEN(H44)&lt;1,K44=0,ISTEXT(I44)),_xlfn.CONCAT(B$1,I44,B$1),IF(AND(LEN(H44)&lt;1,LEN(L44)&lt;1),_xlfn.CONCAT(B$1,F44,B$1),IF(AND(EXACT(G44,H44),ISTEXT(K44)),_xlfn.CONCAT(B$1,I44,B$1),IF(AND(EXACT(G44,H44),K44=0),_xlfn.CONCAT(B$1,I44,B$1),F44))))),"""Vorname""",IF(AND(LEN(H44)&lt;1,K44=0,ISTEXT(I44)),_xlfn.CONCAT(B$1,I44,B$1),IF(AND(LEN(H44)&lt;1,LEN(L44)&lt;1),_xlfn.CONCAT(B$1,F44,B$1),IF(AND(EXACT(G44,H44),ISTEXT(K44)),_xlfn.CONCAT(B$1,I44,B$1),IF(AND(EXACT(G44,H44),K44=0),_xlfn.CONCAT(B$1,I44,B$1),F44)))))</f>
        <v>"Vorname"</v>
      </c>
      <c r="N44" s="61" t="str">
        <f>""</f>
        <v/>
      </c>
      <c r="O44" s="22" t="str">
        <f>_xlfn.CONCAT(A44,M44," ;")</f>
        <v>schema:givenName "Vorname" ;</v>
      </c>
    </row>
    <row r="45" spans="1:17" ht="15" customHeight="1">
      <c r="A45" s="21" t="s">
        <v>52</v>
      </c>
      <c r="B45" s="22"/>
      <c r="C45" s="23"/>
      <c r="D45" s="23"/>
      <c r="E45" s="24"/>
      <c r="F45" s="24"/>
      <c r="G45" s="24"/>
      <c r="H45" s="24"/>
      <c r="I45" s="24"/>
      <c r="J45" s="24"/>
      <c r="K45" s="24"/>
      <c r="L45" s="24"/>
      <c r="M45" s="22" t="e">
        <f>IF(AND(EXACT(G44,H44),ISTEXT(K44)),_xlfn.CONCAT(B$1,K44,B$1),IF(AND(EXACT(G44,H44),K44=0),_xlfn.CONCAT(B$1,J44,B$1),IF(LEN(H44)&lt;1,_xlfn.CONCAT(B$1,G44,B$1),F44)))</f>
        <v>#N/A</v>
      </c>
      <c r="N45" s="61" t="str">
        <f>""</f>
        <v/>
      </c>
      <c r="O45" s="22" t="e">
        <f>_xlfn.CONCAT(A45,M45," ;")</f>
        <v>#N/A</v>
      </c>
    </row>
    <row r="46" spans="1:17" ht="15" customHeight="1">
      <c r="A46" s="21" t="s">
        <v>53</v>
      </c>
      <c r="B46" s="22"/>
      <c r="C46" s="23"/>
      <c r="D46" s="23"/>
      <c r="E46" s="24"/>
      <c r="F46" s="24"/>
      <c r="G46" s="24"/>
      <c r="H46" s="24"/>
      <c r="I46" s="24"/>
      <c r="J46" s="24"/>
      <c r="K46" s="24"/>
      <c r="L46" s="24"/>
      <c r="M46" s="22" t="str">
        <f>_xlfn.CONCAT(B$1,E44,B$1)</f>
        <v>""</v>
      </c>
      <c r="N46" s="61" t="str">
        <f>""</f>
        <v/>
      </c>
      <c r="O46" s="22" t="str">
        <f>_xlfn.CONCAT(A46,M46," ;")</f>
        <v>schema:honorificPrefix "" ;</v>
      </c>
    </row>
    <row r="47" spans="1:17" ht="35" customHeight="1">
      <c r="A47" s="21" t="s">
        <v>54</v>
      </c>
      <c r="B47" s="22"/>
      <c r="C47" s="23"/>
      <c r="D47" s="139"/>
      <c r="E47" s="24"/>
      <c r="F47" s="24"/>
      <c r="G47" s="24"/>
      <c r="H47" s="24"/>
      <c r="I47" s="121"/>
      <c r="J47" s="24"/>
      <c r="K47" s="24"/>
      <c r="L47" s="24"/>
      <c r="M47" s="22" t="str">
        <f>IF(LEN(H44)&lt;1,_xlfn.CONCAT(B$1,B$1),_xlfn.CONCAT(B$1,H44,B$1))</f>
        <v>""</v>
      </c>
      <c r="N47" s="61" t="str">
        <f>""</f>
        <v/>
      </c>
      <c r="O47" s="22" t="str">
        <f>_xlfn.CONCAT(A47,M47," ;")</f>
        <v>schema:honorificSuffix "" ;</v>
      </c>
    </row>
    <row r="48" spans="1:17">
      <c r="A48" s="21" t="s">
        <v>55</v>
      </c>
      <c r="B48" s="22"/>
      <c r="C48" s="23"/>
      <c r="D48" s="23"/>
      <c r="E48" s="24"/>
      <c r="F48" s="24"/>
      <c r="G48" s="24"/>
      <c r="H48" s="24"/>
      <c r="I48" s="24"/>
      <c r="J48" s="24"/>
      <c r="K48" s="24"/>
      <c r="L48" s="24" t="str">
        <f>"@th-brandenburg.de"</f>
        <v>@th-brandenburg.de</v>
      </c>
      <c r="M48" s="22" t="e">
        <f>IF(AND(LEN(H44)&lt;1,LEN(L44)&lt;1),_xlfn.CONCAT(F44,".",G44,L48),IF(AND(LEN(H44)&lt;1,K44=0),_xlfn.CONCAT(I44,".",G44,L48),IF(AND(EXACT(G44,H44),ISTEXT(K44)),_xlfn.CONCAT(I44,".",K44,L48),IF(AND(EXACT(G44,H44),K44=0),_xlfn.CONCAT(I44,".",L44,L48),F44&amp;L48))))</f>
        <v>#N/A</v>
      </c>
      <c r="N48" s="61" t="str">
        <f>""</f>
        <v/>
      </c>
      <c r="O48" s="22" t="e">
        <f>_xlfn.CONCAT(A48,B$1,M48,B$1," ;")</f>
        <v>#N/A</v>
      </c>
    </row>
    <row r="49" spans="1:16" ht="15" customHeight="1">
      <c r="A49" s="21" t="s">
        <v>72</v>
      </c>
      <c r="B49" s="22"/>
      <c r="C49" s="23"/>
      <c r="D49" s="23"/>
      <c r="E49" s="24"/>
      <c r="F49" s="24"/>
      <c r="G49" s="24"/>
      <c r="H49" s="24"/>
      <c r="I49" s="24"/>
      <c r="J49" s="24"/>
      <c r="K49" s="24"/>
      <c r="L49" s="24"/>
      <c r="M49" s="30" t="s">
        <v>66</v>
      </c>
      <c r="N49" s="61" t="str">
        <f>""</f>
        <v/>
      </c>
      <c r="O49" s="22" t="str">
        <f>_xlfn.CONCAT(A49,M49)</f>
        <v>schema:affiliation wd:Q1391182 .</v>
      </c>
    </row>
    <row r="50" spans="1:16" ht="15" customHeight="1">
      <c r="A50" s="21"/>
      <c r="B50" s="22"/>
      <c r="C50" s="23"/>
      <c r="D50" s="23"/>
      <c r="E50" s="24"/>
      <c r="F50" s="24"/>
      <c r="G50" s="24"/>
      <c r="H50" s="24"/>
      <c r="I50" s="24"/>
      <c r="J50" s="24"/>
      <c r="K50" s="24"/>
      <c r="L50" s="24"/>
      <c r="M50" s="22"/>
      <c r="N50" s="22" t="str">
        <f>""</f>
        <v/>
      </c>
      <c r="O50" s="22" t="str">
        <f>""</f>
        <v/>
      </c>
    </row>
    <row r="51" spans="1:16" ht="15" customHeight="1">
      <c r="A51" s="53" t="s">
        <v>58</v>
      </c>
      <c r="B51" s="33"/>
      <c r="C51" s="34"/>
      <c r="D51" s="34"/>
      <c r="E51" s="35"/>
      <c r="F51" s="35"/>
      <c r="G51" s="35"/>
      <c r="H51" s="35"/>
      <c r="I51" s="35"/>
      <c r="J51" s="35"/>
      <c r="K51" s="35"/>
      <c r="L51" s="35"/>
      <c r="M51" s="36" t="e">
        <f>LOWER(IF(AND(LEN(H53)&lt;1,LEN(L53)&lt;1),_xlfn.CONCAT(F53,"-",G53),IF(AND(LEN(H53)&lt;1,K53=0),_xlfn.CONCAT(I53,"-",G53),IF(AND(EXACT(G53,H53),ISTEXT(K53)),_xlfn.CONCAT(I53,"-",K53),IF(AND(EXACT(G53,H53),K53=0),_xlfn.CONCAT(I53,"-",L53),F53)))))</f>
        <v>#N/A</v>
      </c>
      <c r="N51" s="36" t="e">
        <f>_xlfn.CONCAT("thb-fbwm:",M51," a module:Lecturer ;")</f>
        <v>#N/A</v>
      </c>
      <c r="O51" s="36" t="str">
        <f>""</f>
        <v/>
      </c>
      <c r="P51" s="71"/>
    </row>
    <row r="52" spans="1:16" ht="15" customHeight="1">
      <c r="A52" s="21" t="s">
        <v>71</v>
      </c>
      <c r="B52" s="46"/>
      <c r="C52" s="47"/>
      <c r="D52" s="49"/>
      <c r="E52" s="49"/>
      <c r="F52" s="49"/>
      <c r="G52" s="49"/>
      <c r="H52" s="49"/>
      <c r="I52" s="49"/>
      <c r="J52" s="49"/>
      <c r="K52" s="98"/>
      <c r="L52" s="98"/>
      <c r="M52" s="51" t="str">
        <f>_xlfn.CONCAT(B$1,"http://orcid.org/xxx",B$1)</f>
        <v>"http://orcid.org/xxx"</v>
      </c>
      <c r="N52" s="61" t="str">
        <f>""</f>
        <v/>
      </c>
      <c r="O52" s="22" t="str">
        <f>_xlfn.CONCAT(A52,M52," ;")</f>
        <v>schema:sameAs "http://orcid.org/xxx" ;</v>
      </c>
    </row>
    <row r="53" spans="1:16" ht="15" customHeight="1">
      <c r="A53" s="21" t="s">
        <v>51</v>
      </c>
      <c r="B53" s="22"/>
      <c r="C53" s="23"/>
      <c r="D53" s="23" t="e">
        <f>TRIM(IF(ISERROR(MID(B$44,FIND(",",B$44)+1,FIND("#",SUBSTITUTE(B$44,",","#",2))-FIND(",",B$44)-1)),MID(B$44,FIND("#",SUBSTITUTE(B$44,",","#",1))+1,99),MID(B$44,FIND(",",B$44)+1,FIND("#",SUBSTITUTE(B$44,",","#",2))-FIND(",",B$44)-1)))</f>
        <v>#N/A</v>
      </c>
      <c r="E53" s="24" t="str">
        <f t="array" ref="E53">TRIM(IF(MAX(IF((R$5:R$1126&gt;"")*ISNUMBER(SEARCH(R$5:R$1126,D53)*1), ROW($1:$226), ))=0,"",INDEX(R$5:R$1126,MAX(IF((R$5:R$1126&gt;"")*ISNUMBER(SEARCH(R$5:R$1126,D53)*1), ROW($1:$226), )))))</f>
        <v/>
      </c>
      <c r="F53" s="24" t="e">
        <f>MID(D53,LEN(E53)+(E53&gt;"")+1,LEN(D53)-LEN(E53&amp;G53)-(E53&gt;"")-1)</f>
        <v>#N/A</v>
      </c>
      <c r="G53" s="24" t="e">
        <f t="array" ref="G53">TRIM(MID(D53,MAX((MID(D53,COLUMN($1:$1), 1)=" ")*COLUMN($1:$1))+1,999))</f>
        <v>#N/A</v>
      </c>
      <c r="H53" s="24" t="str">
        <f t="array" ref="H53">TRIM(IF(MAX(IF((S$4:S$1126&gt;"")*ISNUMBER(SEARCH(S$4:S$1126,D53)*1), ROW($1:$226), ))=0,"",INDEX(S$4:S$1126,MAX(IF((S$4:S$1126&gt;"")*ISNUMBER(SEARCH(S$4:S$1126,D53)*1), ROW($1:$226), )))&amp;" "))</f>
        <v/>
      </c>
      <c r="I53" s="24">
        <f>IF(ISERROR(TRIM(LEFT(F53,FIND(" ",F53)-1))),0,(TRIM(LEFT(F53,FIND(" ",F53)-1))))</f>
        <v>0</v>
      </c>
      <c r="J53" s="24">
        <f>IF(ISERROR(RIGHT(F53,LEN(F53)-FIND(" ",F53))),0,RIGHT(F53,LEN(F53)-FIND(" ",F53)))</f>
        <v>0</v>
      </c>
      <c r="K53" s="24">
        <f>IF(ISERROR(MID(J53,FIND(" ",J53),55)),0,TRIM(MID(J53,FIND(" ",J53),55)))</f>
        <v>0</v>
      </c>
      <c r="L53" s="24" t="str">
        <f>TRIM(SUBSTITUTE(J53,K53,""))</f>
        <v/>
      </c>
      <c r="M53" s="22" t="e">
        <f>IF(AND(LEN(H53)&lt;1,K53=0,ISTEXT(I53)),_xlfn.CONCAT(B$1,I53,B$1),IF(AND(LEN(H53)&lt;1,LEN(L53)&lt;1),_xlfn.CONCAT(B$1,F53,B$1),IF(AND(EXACT(G53,H53),ISTEXT(K53)),_xlfn.CONCAT(B$1,I53,B$1),IF(AND(EXACT(G53,H53),K53=0),_xlfn.CONCAT(B$1,I53,B$1),F53))))</f>
        <v>#N/A</v>
      </c>
      <c r="N53" s="61" t="str">
        <f>""</f>
        <v/>
      </c>
      <c r="O53" s="22" t="e">
        <f>_xlfn.CONCAT(A53,M53," ;")</f>
        <v>#N/A</v>
      </c>
    </row>
    <row r="54" spans="1:16" ht="15" customHeight="1">
      <c r="A54" s="21" t="s">
        <v>52</v>
      </c>
      <c r="B54" s="22"/>
      <c r="C54" s="23"/>
      <c r="D54" s="23"/>
      <c r="E54" s="24"/>
      <c r="F54" s="24"/>
      <c r="G54" s="24"/>
      <c r="H54" s="24"/>
      <c r="I54" s="24"/>
      <c r="J54" s="24"/>
      <c r="K54" s="24"/>
      <c r="L54" s="24"/>
      <c r="M54" s="22" t="e">
        <f>IF(AND(EXACT(G53,H53),ISTEXT(K53)),_xlfn.CONCAT(B$1,K53,B$1),IF(AND(EXACT(G53,H53),K53=0),_xlfn.CONCAT(B$1,J53,B$1),IF(LEN(H53)&lt;1,_xlfn.CONCAT(B$1,G53,B$1),F53)))</f>
        <v>#N/A</v>
      </c>
      <c r="N54" s="61" t="str">
        <f>""</f>
        <v/>
      </c>
      <c r="O54" s="22" t="e">
        <f>_xlfn.CONCAT(A54,M54," ;")</f>
        <v>#N/A</v>
      </c>
    </row>
    <row r="55" spans="1:16" ht="15" customHeight="1">
      <c r="A55" s="21" t="s">
        <v>53</v>
      </c>
      <c r="B55" s="22"/>
      <c r="C55" s="23"/>
      <c r="D55" s="23"/>
      <c r="E55" s="24"/>
      <c r="F55" s="24"/>
      <c r="G55" s="24"/>
      <c r="H55" s="24"/>
      <c r="I55" s="24"/>
      <c r="J55" s="24"/>
      <c r="K55" s="24"/>
      <c r="L55" s="24"/>
      <c r="M55" s="22" t="str">
        <f>_xlfn.CONCAT(B$1,E53,B$1)</f>
        <v>""</v>
      </c>
      <c r="N55" s="61" t="str">
        <f>""</f>
        <v/>
      </c>
      <c r="O55" s="22" t="str">
        <f>_xlfn.CONCAT(A55,M55," ;")</f>
        <v>schema:honorificPrefix "" ;</v>
      </c>
    </row>
    <row r="56" spans="1:16" ht="15" customHeight="1">
      <c r="A56" s="21" t="s">
        <v>54</v>
      </c>
      <c r="B56" s="22"/>
      <c r="C56" s="23"/>
      <c r="D56" s="23"/>
      <c r="E56" s="24"/>
      <c r="F56" s="24"/>
      <c r="G56" s="24"/>
      <c r="H56" s="24"/>
      <c r="I56" s="24"/>
      <c r="J56" s="24"/>
      <c r="K56" s="24"/>
      <c r="L56" s="24"/>
      <c r="M56" s="22" t="str">
        <f>IF(LEN(H53)&lt;1,_xlfn.CONCAT(B$1,B$1),_xlfn.CONCAT(B$1,H53,B$1))</f>
        <v>""</v>
      </c>
      <c r="N56" s="61" t="str">
        <f>""</f>
        <v/>
      </c>
      <c r="O56" s="22" t="str">
        <f>_xlfn.CONCAT(A56,M56," ;")</f>
        <v>schema:honorificSuffix "" ;</v>
      </c>
    </row>
    <row r="57" spans="1:16" ht="15" customHeight="1">
      <c r="A57" s="21" t="s">
        <v>55</v>
      </c>
      <c r="B57" s="22"/>
      <c r="C57" s="23"/>
      <c r="D57" s="23"/>
      <c r="E57" s="24"/>
      <c r="F57" s="24"/>
      <c r="G57" s="24"/>
      <c r="H57" s="24"/>
      <c r="I57" s="24"/>
      <c r="J57" s="24"/>
      <c r="K57" s="24"/>
      <c r="L57" s="121" t="s">
        <v>201</v>
      </c>
      <c r="M57" s="22" t="e">
        <f>IF(AND(LEN(H53)&lt;1,LEN(L53)&lt;1),_xlfn.CONCAT(F53,".",G53,L57),IF(AND(LEN(H53)&lt;1,K53=0),_xlfn.CONCAT(I53,".",G53,L57),IF(AND(EXACT(G53,H53),ISTEXT(K53)),_xlfn.CONCAT(I53,".",K53,L57),IF(AND(EXACT(G53,H53),K53=0),_xlfn.CONCAT(I53,".",L53,L57),F53&amp;L57))))</f>
        <v>#N/A</v>
      </c>
      <c r="N57" s="61" t="str">
        <f>""</f>
        <v/>
      </c>
      <c r="O57" s="22" t="e">
        <f>_xlfn.CONCAT(A57,B$1,M57,B$1," ;")</f>
        <v>#N/A</v>
      </c>
    </row>
    <row r="58" spans="1:16" ht="15" customHeight="1">
      <c r="A58" s="21" t="s">
        <v>72</v>
      </c>
      <c r="B58" s="22"/>
      <c r="C58" s="23"/>
      <c r="D58" s="23"/>
      <c r="E58" s="24"/>
      <c r="F58" s="24"/>
      <c r="G58" s="24"/>
      <c r="H58" s="24"/>
      <c r="I58" s="24"/>
      <c r="J58" s="24"/>
      <c r="K58" s="24"/>
      <c r="L58" s="24"/>
      <c r="M58" s="30" t="s">
        <v>66</v>
      </c>
      <c r="N58" s="61" t="str">
        <f>""</f>
        <v/>
      </c>
      <c r="O58" s="22" t="str">
        <f>_xlfn.CONCAT(A58,M58)</f>
        <v>schema:affiliation wd:Q1391182 .</v>
      </c>
    </row>
    <row r="59" spans="1:16" ht="15" customHeight="1">
      <c r="A59" s="21"/>
      <c r="B59" s="22"/>
      <c r="C59" s="23"/>
      <c r="D59" s="23"/>
      <c r="E59" s="24"/>
      <c r="F59" s="24"/>
      <c r="G59" s="24"/>
      <c r="H59" s="24"/>
      <c r="I59" s="24"/>
      <c r="J59" s="24"/>
      <c r="K59" s="24"/>
      <c r="L59" s="24"/>
      <c r="M59" s="22"/>
      <c r="N59" s="61" t="str">
        <f>""</f>
        <v/>
      </c>
      <c r="O59" s="22" t="str">
        <f>""</f>
        <v/>
      </c>
    </row>
    <row r="60" spans="1:16" ht="15" customHeight="1">
      <c r="A60" s="53" t="s">
        <v>60</v>
      </c>
      <c r="B60" s="33"/>
      <c r="C60" s="34"/>
      <c r="D60" s="34"/>
      <c r="E60" s="35"/>
      <c r="F60" s="35"/>
      <c r="G60" s="35"/>
      <c r="H60" s="35"/>
      <c r="I60" s="35"/>
      <c r="J60" s="35"/>
      <c r="K60" s="35"/>
      <c r="L60" s="35"/>
      <c r="M60" s="36" t="e">
        <f>LOWER(IF(AND(LEN(H62)&lt;1,LEN(L62)&lt;1),_xlfn.CONCAT(F62,"-",G62),IF(AND(LEN(H62)&lt;1,K62=0),_xlfn.CONCAT(I62,"-",G62),IF(AND(EXACT(G62,H62),ISTEXT(K62)),_xlfn.CONCAT(I62,"-",K62),IF(AND(EXACT(G62,H62),K62=0),_xlfn.CONCAT(I62,"-",L62),F62)))))</f>
        <v>#N/A</v>
      </c>
      <c r="N60" s="36" t="e">
        <f>_xlfn.CONCAT("thb-fbwm:",M60," a module:Lecturer ;")</f>
        <v>#N/A</v>
      </c>
      <c r="O60" s="36" t="str">
        <f>""</f>
        <v/>
      </c>
      <c r="P60" s="71"/>
    </row>
    <row r="61" spans="1:16" ht="15" customHeight="1">
      <c r="A61" s="21" t="s">
        <v>71</v>
      </c>
      <c r="B61" s="46"/>
      <c r="C61" s="47"/>
      <c r="D61" s="49"/>
      <c r="E61" s="49"/>
      <c r="F61" s="49"/>
      <c r="G61" s="49"/>
      <c r="H61" s="49"/>
      <c r="I61" s="49"/>
      <c r="J61" s="49"/>
      <c r="K61" s="98"/>
      <c r="L61" s="98"/>
      <c r="M61" s="51" t="str">
        <f>_xlfn.CONCAT(B$1,"http://orcid.org/xxx",B$1)</f>
        <v>"http://orcid.org/xxx"</v>
      </c>
      <c r="N61" s="61" t="str">
        <f>""</f>
        <v/>
      </c>
      <c r="O61" s="22" t="str">
        <f>_xlfn.CONCAT(A61,M61," ;")</f>
        <v>schema:sameAs "http://orcid.org/xxx" ;</v>
      </c>
    </row>
    <row r="62" spans="1:16">
      <c r="A62" s="21" t="s">
        <v>51</v>
      </c>
      <c r="B62" s="22"/>
      <c r="C62" s="23"/>
      <c r="D62" s="23" t="e">
        <f>TRIM(IF(ISERROR(MID(B$44,FIND(",",B$44)+1,FIND("#",SUBSTITUTE(B$44,",","#",3))-FIND(",",B$44)-1)),MID(B$44,FIND("#",SUBSTITUTE(B$44,",","#",2))+1,99),MID(B$44,FIND("#",SUBSTITUTE(B$44,",","#",2))+1,FIND("#",SUBSTITUTE(B$44,",","#",3))-FIND("#",SUBSTITUTE(B$44,",","#",2))-1)))</f>
        <v>#N/A</v>
      </c>
      <c r="E62" s="24" t="str">
        <f t="array" ref="E62">TRIM(IF(MAX(IF((R$5:R$1126&gt;"")*ISNUMBER(SEARCH(R$5:R$1126,D62)*1), ROW($1:$226), ))=0,"",INDEX(R$5:R$1126,MAX(IF((R$5:R$1126&gt;"")*ISNUMBER(SEARCH(R$5:R$1126,D62)*1), ROW($1:$226), )))))</f>
        <v/>
      </c>
      <c r="F62" s="24" t="e">
        <f>MID(D62,LEN(E62)+(E62&gt;"")+1,LEN(D62)-LEN(E62&amp;G62)-(E62&gt;"")-1)</f>
        <v>#N/A</v>
      </c>
      <c r="G62" s="24" t="e">
        <f t="array" ref="G62">TRIM(MID(D62,MAX((MID(D62,COLUMN($1:$1), 1)=" ")*COLUMN($1:$1))+1,999))</f>
        <v>#N/A</v>
      </c>
      <c r="H62" s="24" t="str">
        <f t="array" ref="H62">TRIM(IF(MAX(IF((S$4:S$1126&gt;"")*ISNUMBER(SEARCH(S$4:S$1126,D62)*1), ROW($1:$226), ))=0,"",INDEX(S$4:S$1126,MAX(IF((S$4:S$1126&gt;"")*ISNUMBER(SEARCH(S$4:S$1126,D62)*1), ROW($1:$226), )))&amp;" "))</f>
        <v/>
      </c>
      <c r="I62" s="24">
        <f>IF(ISERROR(TRIM(LEFT(F62,FIND(" ",F62)-1))),0,(TRIM(LEFT(F62,FIND(" ",F62)-1))))</f>
        <v>0</v>
      </c>
      <c r="J62" s="24">
        <f>IF(ISERROR(RIGHT(F62,LEN(F62)-FIND(" ",F62))),0,RIGHT(F62,LEN(F62)-FIND(" ",F62)))</f>
        <v>0</v>
      </c>
      <c r="K62" s="24">
        <f>IF(ISERROR(MID(J62,FIND(" ",J62),55)),0,TRIM(MID(J62,FIND(" ",J62),55)))</f>
        <v>0</v>
      </c>
      <c r="L62" s="24" t="str">
        <f>TRIM(SUBSTITUTE(J62,K62,""))</f>
        <v/>
      </c>
      <c r="M62" s="22" t="e">
        <f>IF(AND(LEN(H62)&lt;1,K62=0,ISTEXT(I62)),_xlfn.CONCAT(B$1,I62,B$1),IF(AND(LEN(H62)&lt;1,LEN(L62)&lt;1),_xlfn.CONCAT(B$1,F62,B$1),IF(AND(EXACT(G62,H62),ISTEXT(K62)),_xlfn.CONCAT(B$1,I62,B$1),IF(AND(EXACT(G62,H62),K62=0),_xlfn.CONCAT(B$1,I62,B$1),F62))))</f>
        <v>#N/A</v>
      </c>
      <c r="N62" s="61" t="str">
        <f>""</f>
        <v/>
      </c>
      <c r="O62" s="22" t="e">
        <f>_xlfn.CONCAT(A62,M62," ;")</f>
        <v>#N/A</v>
      </c>
    </row>
    <row r="63" spans="1:16" ht="15" customHeight="1">
      <c r="A63" s="21" t="s">
        <v>52</v>
      </c>
      <c r="B63" s="22"/>
      <c r="C63" s="23"/>
      <c r="D63" s="23"/>
      <c r="E63" s="24"/>
      <c r="F63" s="24"/>
      <c r="G63" s="24"/>
      <c r="H63" s="24"/>
      <c r="I63" s="24"/>
      <c r="J63" s="24"/>
      <c r="K63" s="24"/>
      <c r="L63" s="24"/>
      <c r="M63" s="22" t="e">
        <f>IF(AND(EXACT(G62,H62),ISTEXT(K62)),_xlfn.CONCAT(B$1,K62,B$1),IF(AND(EXACT(G62,H62),K62=0),_xlfn.CONCAT(B$1,J62,B$1),IF(LEN(H62)&lt;1,_xlfn.CONCAT(B$1,G62,B$1),F62)))</f>
        <v>#N/A</v>
      </c>
      <c r="N63" s="61" t="str">
        <f>""</f>
        <v/>
      </c>
      <c r="O63" s="22" t="e">
        <f>_xlfn.CONCAT(A63,M63," ;")</f>
        <v>#N/A</v>
      </c>
    </row>
    <row r="64" spans="1:16" ht="15" customHeight="1">
      <c r="A64" s="21" t="s">
        <v>53</v>
      </c>
      <c r="B64" s="22"/>
      <c r="C64" s="23"/>
      <c r="D64" s="23"/>
      <c r="E64" s="24"/>
      <c r="F64" s="24"/>
      <c r="G64" s="24"/>
      <c r="H64" s="24"/>
      <c r="I64" s="24"/>
      <c r="J64" s="24"/>
      <c r="K64" s="24"/>
      <c r="L64" s="24"/>
      <c r="M64" s="22" t="str">
        <f>_xlfn.CONCAT(B$1,E62,B$1)</f>
        <v>""</v>
      </c>
      <c r="N64" s="61" t="str">
        <f>""</f>
        <v/>
      </c>
      <c r="O64" s="22" t="str">
        <f>_xlfn.CONCAT(A64,M64," ;")</f>
        <v>schema:honorificPrefix "" ;</v>
      </c>
    </row>
    <row r="65" spans="1:16" ht="15" customHeight="1">
      <c r="A65" s="21" t="s">
        <v>54</v>
      </c>
      <c r="B65" s="22"/>
      <c r="C65" s="23"/>
      <c r="D65" s="23"/>
      <c r="E65" s="24"/>
      <c r="F65" s="24"/>
      <c r="G65" s="24"/>
      <c r="H65" s="24"/>
      <c r="I65" s="24"/>
      <c r="J65" s="24"/>
      <c r="K65" s="24"/>
      <c r="L65" s="24"/>
      <c r="M65" s="22" t="str">
        <f>IF(LEN(H62)&lt;1,_xlfn.CONCAT(B$1,B$1),_xlfn.CONCAT(B$1,H62,B$1))</f>
        <v>""</v>
      </c>
      <c r="N65" s="61" t="str">
        <f>""</f>
        <v/>
      </c>
      <c r="O65" s="22" t="str">
        <f>_xlfn.CONCAT(A65,M65," ;")</f>
        <v>schema:honorificSuffix "" ;</v>
      </c>
    </row>
    <row r="66" spans="1:16" ht="15" customHeight="1">
      <c r="A66" s="21" t="s">
        <v>55</v>
      </c>
      <c r="B66" s="22"/>
      <c r="C66" s="23"/>
      <c r="D66" s="23"/>
      <c r="E66" s="24"/>
      <c r="F66" s="24"/>
      <c r="G66" s="24"/>
      <c r="H66" s="24"/>
      <c r="I66" s="24"/>
      <c r="J66" s="24"/>
      <c r="K66" s="24"/>
      <c r="L66" s="121" t="s">
        <v>201</v>
      </c>
      <c r="M66" s="22" t="e">
        <f>IF(AND(LEN(H62)&lt;1,LEN(L62)&lt;1),_xlfn.CONCAT(F62,".",G62,L66),IF(AND(LEN(H62)&lt;1,K62=0),_xlfn.CONCAT(I62,".",G62,L66),IF(AND(EXACT(G62,H62),ISTEXT(K62)),_xlfn.CONCAT(I62,".",K62,L66),IF(AND(EXACT(G62,H62),K62=0),_xlfn.CONCAT(I62,".",L62,L66),F62&amp;L66))))</f>
        <v>#N/A</v>
      </c>
      <c r="N66" s="61" t="str">
        <f>""</f>
        <v/>
      </c>
      <c r="O66" s="22" t="e">
        <f>_xlfn.CONCAT(A66,B$1,M66,B$1," ;")</f>
        <v>#N/A</v>
      </c>
    </row>
    <row r="67" spans="1:16" ht="15" customHeight="1">
      <c r="A67" s="21" t="s">
        <v>72</v>
      </c>
      <c r="B67" s="22"/>
      <c r="C67" s="23"/>
      <c r="D67" s="23"/>
      <c r="E67" s="24"/>
      <c r="F67" s="24"/>
      <c r="G67" s="24"/>
      <c r="H67" s="24"/>
      <c r="I67" s="24"/>
      <c r="J67" s="24"/>
      <c r="K67" s="24"/>
      <c r="L67" s="24"/>
      <c r="M67" s="30" t="s">
        <v>66</v>
      </c>
      <c r="N67" s="61" t="str">
        <f>""</f>
        <v/>
      </c>
      <c r="O67" s="22" t="str">
        <f>_xlfn.CONCAT(A67,M67)</f>
        <v>schema:affiliation wd:Q1391182 .</v>
      </c>
    </row>
    <row r="68" spans="1:16" ht="15" customHeight="1">
      <c r="A68" s="21"/>
      <c r="B68" s="22"/>
      <c r="C68" s="23"/>
      <c r="D68" s="23"/>
      <c r="E68" s="24"/>
      <c r="F68" s="24"/>
      <c r="G68" s="24"/>
      <c r="H68" s="24"/>
      <c r="I68" s="24"/>
      <c r="J68" s="24"/>
      <c r="K68" s="24"/>
      <c r="L68" s="24"/>
      <c r="M68" s="22"/>
      <c r="N68" s="61" t="str">
        <f>""</f>
        <v/>
      </c>
      <c r="O68" s="22" t="str">
        <f>""</f>
        <v/>
      </c>
    </row>
    <row r="69" spans="1:16" ht="25" customHeight="1">
      <c r="A69" s="53" t="s">
        <v>59</v>
      </c>
      <c r="B69" s="33"/>
      <c r="C69" s="34"/>
      <c r="D69" s="34"/>
      <c r="E69" s="35"/>
      <c r="F69" s="35"/>
      <c r="G69" s="35"/>
      <c r="H69" s="35"/>
      <c r="I69" s="35"/>
      <c r="J69" s="35"/>
      <c r="K69" s="35"/>
      <c r="L69" s="35"/>
      <c r="M69" s="36" t="e">
        <f>LOWER(IF(AND(LEN(H71)&lt;1,LEN(L71)&lt;1),_xlfn.CONCAT(F71,"-",G71),IF(AND(LEN(H71)&lt;1,K71=0),_xlfn.CONCAT(I71,"-",G71),IF(AND(EXACT(G71,H71),ISTEXT(K71)),_xlfn.CONCAT(I71,"-",K71),IF(AND(EXACT(G71,H71),K71=0),_xlfn.CONCAT(I71,"-",L71),F71)))))</f>
        <v>#N/A</v>
      </c>
      <c r="N69" s="36" t="e">
        <f>_xlfn.CONCAT("thb-fbwm:",M69," a module:Lecturer ;")</f>
        <v>#N/A</v>
      </c>
      <c r="O69" s="36" t="str">
        <f>""</f>
        <v/>
      </c>
      <c r="P69" s="71"/>
    </row>
    <row r="70" spans="1:16" ht="30" customHeight="1">
      <c r="A70" s="21" t="s">
        <v>71</v>
      </c>
      <c r="B70" s="46"/>
      <c r="C70" s="47"/>
      <c r="D70" s="49"/>
      <c r="E70" s="49"/>
      <c r="F70" s="49"/>
      <c r="G70" s="49"/>
      <c r="H70" s="49"/>
      <c r="I70" s="49"/>
      <c r="J70" s="49"/>
      <c r="K70" s="98"/>
      <c r="L70" s="98"/>
      <c r="M70" s="51" t="str">
        <f>_xlfn.CONCAT(B$1,"http://orcid.org/xxx",B$1)</f>
        <v>"http://orcid.org/xxx"</v>
      </c>
      <c r="N70" s="61" t="str">
        <f>""</f>
        <v/>
      </c>
      <c r="O70" s="22" t="str">
        <f>_xlfn.CONCAT(A70,M70," ;")</f>
        <v>schema:sameAs "http://orcid.org/xxx" ;</v>
      </c>
    </row>
    <row r="71" spans="1:16" ht="15" customHeight="1">
      <c r="A71" s="21" t="s">
        <v>51</v>
      </c>
      <c r="B71" s="22"/>
      <c r="C71" s="23"/>
      <c r="D71" s="23" t="e">
        <f>TRIM(IF(ISERROR(MID(B$44,FIND(",",B$44)+1,FIND("#",SUBSTITUTE(B$44,",","#",4))-FIND(",",B$44)-1)),MID(B$44,FIND("#",SUBSTITUTE(B$44,",","#",LEN(B$44)-LEN(SUBSTITUTE(B$44,",",""))))+1,99),MID(B$44,FIND(",",B$44)+1,FIND("#",SUBSTITUTE(B$44,",","#",4))-FIND(",",B$44)-1)))</f>
        <v>#N/A</v>
      </c>
      <c r="E71" s="24" t="str">
        <f t="array" ref="E71">TRIM(IF(MAX(IF((R$5:R$1126&gt;"")*ISNUMBER(SEARCH(R$5:R$1126,D71)*1), ROW($1:$226), ))=0,"",INDEX(R$5:R$1126,MAX(IF((R$5:R$1126&gt;"")*ISNUMBER(SEARCH(R$5:R$1126,D71)*1), ROW($1:$226), )))))</f>
        <v/>
      </c>
      <c r="F71" s="24" t="e">
        <f>MID(D71,LEN(E71)+(E71&gt;"")+1,LEN(D71)-LEN(E71&amp;G71)-(E71&gt;"")-1)</f>
        <v>#N/A</v>
      </c>
      <c r="G71" s="24" t="e">
        <f t="array" ref="G71">TRIM(MID(D71,MAX((MID(D71,COLUMN($1:$1), 1)=" ")*COLUMN($1:$1))+1,999))</f>
        <v>#N/A</v>
      </c>
      <c r="H71" s="24" t="str">
        <f t="array" ref="H71">TRIM(IF(MAX(IF((S$4:S$1126&gt;"")*ISNUMBER(SEARCH(S$4:S$1126,D71)*1), ROW($1:$226), ))=0,"",INDEX(S$4:S$1126,MAX(IF((S$4:S$1126&gt;"")*ISNUMBER(SEARCH(S$4:S$1126,D71)*1), ROW($1:$226), )))&amp;" "))</f>
        <v/>
      </c>
      <c r="I71" s="24">
        <f>IF(ISERROR(TRIM(LEFT(F71,FIND(" ",F71)-1))),0,(TRIM(LEFT(F71,FIND(" ",F71)-1))))</f>
        <v>0</v>
      </c>
      <c r="J71" s="24">
        <f>IF(ISERROR(RIGHT(F71,LEN(F71)-FIND(" ",F71))),0,RIGHT(F71,LEN(F71)-FIND(" ",F71)))</f>
        <v>0</v>
      </c>
      <c r="K71" s="24">
        <f>IF(ISERROR(MID(J71,FIND(" ",J71),55)),0,TRIM(MID(J71,FIND(" ",J71),55)))</f>
        <v>0</v>
      </c>
      <c r="L71" s="24" t="str">
        <f>TRIM(SUBSTITUTE(J71,K71,""))</f>
        <v/>
      </c>
      <c r="M71" s="22" t="e">
        <f>IF(AND(LEN(H71)&lt;1,K71=0,ISTEXT(I71)),_xlfn.CONCAT(B$1,I71,B$1),IF(AND(LEN(H71)&lt;1,LEN(L71)&lt;1),_xlfn.CONCAT(B$1,F71,B$1),IF(AND(EXACT(G71,H71),ISTEXT(K71)),_xlfn.CONCAT(B$1,I71,B$1),IF(AND(EXACT(G71,H71),K71=0),_xlfn.CONCAT(B$1,I71,B$1),F71))))</f>
        <v>#N/A</v>
      </c>
      <c r="N71" s="61" t="str">
        <f>""</f>
        <v/>
      </c>
      <c r="O71" s="22" t="e">
        <f>_xlfn.CONCAT(A71,M71," ;")</f>
        <v>#N/A</v>
      </c>
    </row>
    <row r="72" spans="1:16" ht="15" customHeight="1">
      <c r="A72" s="21" t="s">
        <v>52</v>
      </c>
      <c r="B72" s="22"/>
      <c r="C72" s="23"/>
      <c r="D72" s="23"/>
      <c r="E72" s="24"/>
      <c r="F72" s="24"/>
      <c r="G72" s="24"/>
      <c r="H72" s="24"/>
      <c r="I72" s="24"/>
      <c r="J72" s="24"/>
      <c r="K72" s="24"/>
      <c r="L72" s="24"/>
      <c r="M72" s="22" t="e">
        <f>IF(AND(EXACT(G71,H71),ISTEXT(K71)),_xlfn.CONCAT(B$1,K71,B$1),IF(AND(EXACT(G71,H71),K71=0),_xlfn.CONCAT(B$1,J71,B$1),IF(LEN(H71)&lt;1,_xlfn.CONCAT(B$1,G71,B$1),F71)))</f>
        <v>#N/A</v>
      </c>
      <c r="N72" s="61" t="str">
        <f>""</f>
        <v/>
      </c>
      <c r="O72" s="22" t="e">
        <f>_xlfn.CONCAT(A72,M72," ;")</f>
        <v>#N/A</v>
      </c>
    </row>
    <row r="73" spans="1:16" ht="15" customHeight="1">
      <c r="A73" s="21" t="s">
        <v>53</v>
      </c>
      <c r="B73" s="22"/>
      <c r="C73" s="23"/>
      <c r="D73" s="23"/>
      <c r="E73" s="24"/>
      <c r="F73" s="24"/>
      <c r="G73" s="24"/>
      <c r="H73" s="24"/>
      <c r="I73" s="24"/>
      <c r="J73" s="24"/>
      <c r="K73" s="24"/>
      <c r="L73" s="24"/>
      <c r="M73" s="22" t="str">
        <f>_xlfn.CONCAT(B$1,E71,B$1)</f>
        <v>""</v>
      </c>
      <c r="N73" s="61" t="str">
        <f>""</f>
        <v/>
      </c>
      <c r="O73" s="22" t="str">
        <f>_xlfn.CONCAT(A73,M73," ;")</f>
        <v>schema:honorificPrefix "" ;</v>
      </c>
    </row>
    <row r="74" spans="1:16" ht="15" customHeight="1">
      <c r="A74" s="21" t="s">
        <v>54</v>
      </c>
      <c r="B74" s="22"/>
      <c r="C74" s="23"/>
      <c r="D74" s="23"/>
      <c r="E74" s="24"/>
      <c r="F74" s="24"/>
      <c r="G74" s="24"/>
      <c r="H74" s="24"/>
      <c r="I74" s="24"/>
      <c r="J74" s="24"/>
      <c r="K74" s="24"/>
      <c r="L74" s="24"/>
      <c r="M74" s="22" t="str">
        <f>IF(LEN(H71)&lt;1,_xlfn.CONCAT(B$1,B$1),_xlfn.CONCAT(B$1,H71,B$1))</f>
        <v>""</v>
      </c>
      <c r="N74" s="61" t="str">
        <f>""</f>
        <v/>
      </c>
      <c r="O74" s="22" t="str">
        <f>_xlfn.CONCAT(A74,M74," ;")</f>
        <v>schema:honorificSuffix "" ;</v>
      </c>
    </row>
    <row r="75" spans="1:16" ht="15" customHeight="1">
      <c r="A75" s="21" t="s">
        <v>55</v>
      </c>
      <c r="B75" s="22"/>
      <c r="C75" s="23"/>
      <c r="D75" s="23"/>
      <c r="E75" s="24"/>
      <c r="F75" s="24"/>
      <c r="G75" s="24"/>
      <c r="H75" s="24"/>
      <c r="I75" s="24"/>
      <c r="J75" s="24"/>
      <c r="K75" s="24"/>
      <c r="L75" s="121" t="s">
        <v>201</v>
      </c>
      <c r="M75" s="22" t="e">
        <f>IF(AND(LEN(H71)&lt;1,LEN(L71)&lt;1),_xlfn.CONCAT(F71,".",G71,L75),IF(AND(LEN(H71)&lt;1,K71=0),_xlfn.CONCAT(I71,".",G71,L75),IF(AND(EXACT(G71,H71),ISTEXT(K71)),_xlfn.CONCAT(I71,".",K71,L75),IF(AND(EXACT(G71,H71),K71=0),_xlfn.CONCAT(I71,".",L71,L75),F71&amp;L75))))</f>
        <v>#N/A</v>
      </c>
      <c r="N75" s="61" t="str">
        <f>""</f>
        <v/>
      </c>
      <c r="O75" s="22" t="e">
        <f>_xlfn.CONCAT(A75,B$1,M75,B$1," ;")</f>
        <v>#N/A</v>
      </c>
    </row>
    <row r="76" spans="1:16" ht="15" customHeight="1">
      <c r="A76" s="21" t="s">
        <v>72</v>
      </c>
      <c r="B76" s="22"/>
      <c r="C76" s="23"/>
      <c r="D76" s="23"/>
      <c r="E76" s="24"/>
      <c r="F76" s="24"/>
      <c r="G76" s="24"/>
      <c r="H76" s="24"/>
      <c r="I76" s="24"/>
      <c r="J76" s="24"/>
      <c r="K76" s="24"/>
      <c r="L76" s="24"/>
      <c r="M76" s="22" t="s">
        <v>66</v>
      </c>
      <c r="N76" s="61" t="str">
        <f>""</f>
        <v/>
      </c>
      <c r="O76" s="22" t="str">
        <f>_xlfn.CONCAT(A76,M76)</f>
        <v>schema:affiliation wd:Q1391182 .</v>
      </c>
    </row>
    <row r="77" spans="1:16" ht="15" customHeight="1">
      <c r="A77" s="21"/>
      <c r="B77" s="22"/>
      <c r="C77" s="23"/>
      <c r="D77" s="23"/>
      <c r="E77" s="24"/>
      <c r="F77" s="24"/>
      <c r="G77" s="24"/>
      <c r="H77" s="24"/>
      <c r="I77" s="24"/>
      <c r="J77" s="24"/>
      <c r="K77" s="24"/>
      <c r="L77" s="24"/>
      <c r="M77" s="22"/>
      <c r="N77" s="61"/>
      <c r="O77" s="22"/>
    </row>
    <row r="78" spans="1:16" ht="25" customHeight="1">
      <c r="A78" s="53" t="s">
        <v>226</v>
      </c>
      <c r="B78" s="33"/>
      <c r="C78" s="34"/>
      <c r="D78" s="34"/>
      <c r="E78" s="35"/>
      <c r="F78" s="35"/>
      <c r="G78" s="35"/>
      <c r="H78" s="35"/>
      <c r="I78" s="35"/>
      <c r="J78" s="35"/>
      <c r="K78" s="35"/>
      <c r="L78" s="35"/>
      <c r="M78" s="33" t="str">
        <f>IF(ISERROR(LOWER(IF(AND(LEN(H80)&lt;1,LEN(L80)&lt;1),_xlfn.CONCAT(F80,"-",G80),IF(AND(LEN(H80)&lt;1,K80=0),_xlfn.CONCAT(I80,"-",G80),IF(AND(EXACT(G80,H80),ISTEXT(K80)),_xlfn.CONCAT(I80,"-",K80),IF(AND(EXACT(G80,H80),K80=0),_xlfn.CONCAT(I80,"-",L80),F80)))))),"vorname-nachname",LOWER(IF(AND(LEN(H80)&lt;1,LEN(L80)&lt;1),_xlfn.CONCAT(F80,"-",G80),IF(AND(LEN(H80)&lt;1,K80=0),_xlfn.CONCAT(I80,"-",G80),IF(AND(EXACT(G80,H80),ISTEXT(K80)),_xlfn.CONCAT(I80,"-",K80),IF(AND(EXACT(G80,H80),K80=0),_xlfn.CONCAT(I80,"-",L80),F80))))))</f>
        <v>vorname-nachname</v>
      </c>
      <c r="N78" s="36" t="str">
        <f>_xlfn.CONCAT("thb-fbwm:",M78," a module:Lecturer ;")</f>
        <v>thb-fbwm:vorname-nachname a module:Lecturer ;</v>
      </c>
      <c r="O78" s="141" t="str">
        <f>""</f>
        <v/>
      </c>
      <c r="P78" s="76"/>
    </row>
    <row r="79" spans="1:16" ht="25" customHeight="1">
      <c r="A79" s="21" t="s">
        <v>71</v>
      </c>
      <c r="B79" s="22"/>
      <c r="C79" s="23"/>
      <c r="D79" s="23"/>
      <c r="E79" s="24"/>
      <c r="F79" s="24"/>
      <c r="G79" s="24"/>
      <c r="H79" s="24"/>
      <c r="I79" s="24"/>
      <c r="J79" s="24"/>
      <c r="K79" s="24"/>
      <c r="L79" s="24"/>
      <c r="M79" s="51" t="str">
        <f>_xlfn.CONCAT(B$1,"http://orcid.org/xxx",B$1)</f>
        <v>"http://orcid.org/xxx"</v>
      </c>
      <c r="N79" s="61" t="str">
        <f>""</f>
        <v/>
      </c>
      <c r="O79" s="22" t="str">
        <f>_xlfn.CONCAT(A79,M79," ;")</f>
        <v>schema:sameAs "http://orcid.org/xxx" ;</v>
      </c>
    </row>
    <row r="80" spans="1:16" ht="15" customHeight="1">
      <c r="A80" s="21" t="s">
        <v>51</v>
      </c>
      <c r="B80" s="22" t="e">
        <f>TRIM(SUBSTITUTE(SUBSTITUTE(VLOOKUP(C80,Original!A:B,2,0),"Prof ","Prof. ")," ",""))</f>
        <v>#N/A</v>
      </c>
      <c r="C80" s="23" t="s">
        <v>6</v>
      </c>
      <c r="D80" s="23" t="e">
        <f>IF(ISERROR(LEFT(B80,SEARCH(",",B80)-1)),TRIM(B80),LEFT(B80,SEARCH(",",B80)-1))</f>
        <v>#N/A</v>
      </c>
      <c r="E80" s="24" t="str">
        <f t="array" ref="E80">TRIM(IF(MAX(IF((R$5:R$1126&gt;"")*ISNUMBER(SEARCH(R$5:R$1126,D80)*1), ROW($1:$226), ))=0,"",INDEX(R$5:R$1126,MAX(IF((R$5:R$1126&gt;"")*ISNUMBER(SEARCH(R$5:R$1126,D80)*1), ROW($1:$226), )))))</f>
        <v/>
      </c>
      <c r="F80" s="24" t="e">
        <f>MID(D80,LEN(E80)+(E80&gt;"")+1,LEN(D80)-LEN(E80&amp;G80)-(E80&gt;"")-1)</f>
        <v>#N/A</v>
      </c>
      <c r="G80" s="24" t="e">
        <f t="array" ref="G80">TRIM(MID(D80,MAX((MID(D80,COLUMN($1:$1), 1)=" ")*COLUMN($1:$1))+1,999))</f>
        <v>#N/A</v>
      </c>
      <c r="H80" s="24" t="str">
        <f t="array" ref="H80">TRIM(IF(MAX(IF((S$4:S$1126&gt;"")*ISNUMBER(SEARCH(S$4:S$1126,D80)*1), ROW($1:$226), ))=0,"",INDEX(S$4:S$1126,MAX(IF((S$4:S$1126&gt;"")*ISNUMBER(SEARCH(S$4:S$1126,D80)*1), ROW($1:$226), )))&amp;" "))</f>
        <v/>
      </c>
      <c r="I80" s="24">
        <f>IF(ISERROR(TRIM(LEFT(F80,FIND(" ",F80)-1))),0,(TRIM(LEFT(F80,FIND(" ",F80)-1))))</f>
        <v>0</v>
      </c>
      <c r="J80" s="24" t="str">
        <f>TRIM(IF(ISERROR(RIGHT(F80,LEN(F80)-FIND(" ",F80))),0,RIGHT(F80,LEN(F80)-FIND(" ",F80))))</f>
        <v>0</v>
      </c>
      <c r="K80" s="24">
        <f>IF(ISERROR(MID(J80,FIND(" ",J80),55)),0,TRIM(MID(J80,FIND(" ",J80),55)))</f>
        <v>0</v>
      </c>
      <c r="L80" s="24" t="str">
        <f>TRIM(SUBSTITUTE(J80,K80,""))</f>
        <v/>
      </c>
      <c r="M80" s="22" t="str">
        <f>IF(ISERROR(IF(AND(LEN(H80)&lt;1,K80=0,ISTEXT(I80)),_xlfn.CONCAT(B$1,I80,B$1),IF(AND(LEN(H80)&lt;1,LEN(L80)&lt;1),_xlfn.CONCAT(B$1,F80,B$1),IF(AND(EXACT(G80,H80),ISTEXT(K80)),_xlfn.CONCAT(B$1,I80,B$1),IF(AND(EXACT(G80,H80),K80=0),_xlfn.CONCAT(B$1,I80,B$1),F80))))),"""Vorname""",IF(AND(LEN(H80)&lt;1,K80=0,ISTEXT(I80)),_xlfn.CONCAT(B$1,I80,B$1),IF(AND(LEN(H80)&lt;1,LEN(L80)&lt;1),_xlfn.CONCAT(B$1,F80,B$1),IF(AND(EXACT(G80,H80),ISTEXT(K80)),_xlfn.CONCAT(B$1,I80,B$1),IF(AND(EXACT(G80,H80),K80=0),_xlfn.CONCAT(B$1,I80,B$1),F80)))))</f>
        <v>"Vorname"</v>
      </c>
      <c r="N80" s="61" t="str">
        <f>""</f>
        <v/>
      </c>
      <c r="O80" s="22" t="str">
        <f>_xlfn.CONCAT(A80,M80," ;")</f>
        <v>schema:givenName "Vorname" ;</v>
      </c>
    </row>
    <row r="81" spans="1:16" ht="15" customHeight="1">
      <c r="A81" s="21" t="s">
        <v>52</v>
      </c>
      <c r="B81" s="22"/>
      <c r="C81" s="23"/>
      <c r="D81" s="23"/>
      <c r="E81" s="24"/>
      <c r="F81" s="24"/>
      <c r="G81" s="24"/>
      <c r="H81" s="24"/>
      <c r="I81" s="24"/>
      <c r="J81" s="24"/>
      <c r="K81" s="24"/>
      <c r="L81" s="24"/>
      <c r="M81" s="22" t="e">
        <f>IF(AND(EXACT(G80,H80),ISTEXT(K80)),_xlfn.CONCAT(B$1,K80,B$1),IF(AND(EXACT(G80,H80),K80=0),_xlfn.CONCAT(B$1,J80,B$1),IF(LEN(H80)&lt;1,_xlfn.CONCAT(B$1,G80,B$1),F80)))</f>
        <v>#N/A</v>
      </c>
      <c r="N81" s="61" t="str">
        <f>""</f>
        <v/>
      </c>
      <c r="O81" s="22" t="e">
        <f>_xlfn.CONCAT(A81,M81," ;")</f>
        <v>#N/A</v>
      </c>
    </row>
    <row r="82" spans="1:16" ht="15" customHeight="1">
      <c r="A82" s="21" t="s">
        <v>53</v>
      </c>
      <c r="B82" s="22"/>
      <c r="C82" s="23"/>
      <c r="D82" s="23"/>
      <c r="E82" s="24"/>
      <c r="F82" s="24"/>
      <c r="G82" s="24"/>
      <c r="H82" s="24"/>
      <c r="I82" s="24"/>
      <c r="J82" s="24"/>
      <c r="K82" s="24"/>
      <c r="L82" s="24"/>
      <c r="M82" s="22" t="str">
        <f>_xlfn.CONCAT(B$1,E80,B$1)</f>
        <v>""</v>
      </c>
      <c r="N82" s="61" t="str">
        <f>""</f>
        <v/>
      </c>
      <c r="O82" s="22" t="str">
        <f>_xlfn.CONCAT(A82,M82," ;")</f>
        <v>schema:honorificPrefix "" ;</v>
      </c>
    </row>
    <row r="83" spans="1:16" ht="15" customHeight="1">
      <c r="A83" s="21" t="s">
        <v>54</v>
      </c>
      <c r="B83" s="22"/>
      <c r="C83" s="23"/>
      <c r="D83" s="23"/>
      <c r="E83" s="24"/>
      <c r="F83" s="24"/>
      <c r="G83" s="24"/>
      <c r="H83" s="24"/>
      <c r="I83" s="24"/>
      <c r="J83" s="24"/>
      <c r="K83" s="24"/>
      <c r="L83" s="24"/>
      <c r="M83" s="22" t="str">
        <f>IF(LEN(H80)&lt;1,_xlfn.CONCAT(B$1,B$1),_xlfn.CONCAT(B$1,H80,B$1))</f>
        <v>""</v>
      </c>
      <c r="N83" s="61" t="str">
        <f>""</f>
        <v/>
      </c>
      <c r="O83" s="22" t="str">
        <f>_xlfn.CONCAT(A83,M83," ;")</f>
        <v>schema:honorificSuffix "" ;</v>
      </c>
    </row>
    <row r="84" spans="1:16" ht="15" customHeight="1">
      <c r="A84" s="21" t="s">
        <v>55</v>
      </c>
      <c r="B84" s="22"/>
      <c r="C84" s="23"/>
      <c r="D84" s="23"/>
      <c r="E84" s="24"/>
      <c r="F84" s="24"/>
      <c r="G84" s="24"/>
      <c r="H84" s="24"/>
      <c r="I84" s="24"/>
      <c r="J84" s="24"/>
      <c r="K84" s="24"/>
      <c r="L84" s="24" t="str">
        <f>"@th-brandenburg.de"</f>
        <v>@th-brandenburg.de</v>
      </c>
      <c r="M84" s="22" t="e">
        <f>IF(AND(LEN(H80)&lt;1,LEN(L80)&lt;1),_xlfn.CONCAT(F80,".",G80,L84),IF(AND(LEN(H80)&lt;1,K80=0),_xlfn.CONCAT(I80,".",G80,L84),IF(AND(EXACT(G80,H80),ISTEXT(K80)),_xlfn.CONCAT(I80,".",K80,L84),IF(AND(EXACT(G80,H80),K80=0),_xlfn.CONCAT(I80,".",L80,L84),F80&amp;L84))))</f>
        <v>#N/A</v>
      </c>
      <c r="N84" s="61" t="str">
        <f>""</f>
        <v/>
      </c>
      <c r="O84" s="22" t="e">
        <f>_xlfn.CONCAT(A84,B$1,M84,B$1," ;")</f>
        <v>#N/A</v>
      </c>
    </row>
    <row r="85" spans="1:16" ht="15" customHeight="1">
      <c r="A85" s="21" t="s">
        <v>72</v>
      </c>
      <c r="B85" s="22"/>
      <c r="C85" s="23"/>
      <c r="D85" s="23"/>
      <c r="E85" s="24"/>
      <c r="F85" s="24"/>
      <c r="G85" s="24"/>
      <c r="H85" s="24"/>
      <c r="I85" s="24"/>
      <c r="J85" s="24"/>
      <c r="K85" s="24"/>
      <c r="L85" s="24"/>
      <c r="M85" s="30" t="s">
        <v>66</v>
      </c>
      <c r="N85" s="61" t="str">
        <f>""</f>
        <v/>
      </c>
      <c r="O85" s="22" t="str">
        <f>_xlfn.CONCAT(A85,M85)</f>
        <v>schema:affiliation wd:Q1391182 .</v>
      </c>
    </row>
    <row r="86" spans="1:16" ht="15" customHeight="1">
      <c r="A86" s="27"/>
      <c r="B86" s="28"/>
      <c r="C86" s="54"/>
      <c r="D86" s="54"/>
      <c r="E86" s="29"/>
      <c r="F86" s="29"/>
      <c r="G86" s="29"/>
      <c r="H86" s="29"/>
      <c r="I86" s="29"/>
      <c r="J86" s="29"/>
      <c r="K86" s="29"/>
      <c r="L86" s="29"/>
      <c r="M86" s="30"/>
      <c r="N86" s="61" t="str">
        <f>""</f>
        <v/>
      </c>
      <c r="O86" s="22" t="str">
        <f>""</f>
        <v/>
      </c>
      <c r="P86" s="32"/>
    </row>
    <row r="87" spans="1:16" ht="32" customHeight="1">
      <c r="A87" s="122" t="s">
        <v>118</v>
      </c>
      <c r="B87" s="19"/>
      <c r="C87" s="20"/>
      <c r="D87" s="201"/>
      <c r="E87" s="201"/>
      <c r="F87" s="201"/>
      <c r="G87" s="201"/>
      <c r="H87" s="201"/>
      <c r="I87" s="201"/>
      <c r="J87" s="201"/>
      <c r="K87" s="97"/>
      <c r="L87" s="97"/>
      <c r="M87" s="19"/>
      <c r="N87" s="19"/>
      <c r="O87" s="19"/>
      <c r="P87" s="88"/>
    </row>
    <row r="88" spans="1:16" ht="15" hidden="1" customHeight="1">
      <c r="A88" s="123"/>
      <c r="B88" s="22"/>
      <c r="C88" s="23"/>
      <c r="D88" s="23"/>
      <c r="E88" s="24"/>
      <c r="F88" s="24" t="s">
        <v>140</v>
      </c>
      <c r="G88" s="24" t="s">
        <v>141</v>
      </c>
      <c r="H88" s="24"/>
      <c r="I88" s="24"/>
      <c r="J88" s="24"/>
      <c r="K88" s="24"/>
      <c r="L88" s="24"/>
      <c r="M88" s="22"/>
      <c r="N88" s="22"/>
      <c r="O88" s="22"/>
      <c r="P88" s="52"/>
    </row>
    <row r="89" spans="1:16" ht="46.5" hidden="1">
      <c r="A89" s="124" t="s">
        <v>148</v>
      </c>
      <c r="B89" s="22" t="e">
        <f>TRIM(VLOOKUP(C89,Original!A:B,2,0))</f>
        <v>#N/A</v>
      </c>
      <c r="C89" s="23" t="s">
        <v>17</v>
      </c>
      <c r="D89" s="23" t="e">
        <f>TRIM(LEFT(B89,SEARCH(":",B89)-1))</f>
        <v>#N/A</v>
      </c>
      <c r="E89" s="23" t="e">
        <f>TRIM(LEFT(D89,SEARCH(";",D89)-1))</f>
        <v>#N/A</v>
      </c>
      <c r="F89" s="23" t="e">
        <f>TRIM(IF(ISERROR(LEFT(E89,SEARCH(",",E89)-1)),E89,(LEFT(E89,SEARCH(",",E89)-1))))</f>
        <v>#N/A</v>
      </c>
      <c r="G89" s="24" t="e" cm="1">
        <f t="array" ref="G89">IF(EXACT(F89,MID(E89,MAX((MID(E89,COLUMN($1:$1), 1)=" ")*COLUMN($1:$1))+1,999)),"",MID(E89,MAX((MID(E89,COLUMN($1:$1), 1)=" ")*COLUMN($1:$1))+1,999))</f>
        <v>#N/A</v>
      </c>
      <c r="H89" s="24"/>
      <c r="I89" s="23" t="s">
        <v>149</v>
      </c>
      <c r="J89" s="24"/>
      <c r="K89" s="24"/>
      <c r="L89" s="24"/>
      <c r="M89" s="22"/>
      <c r="N89" s="22" t="str">
        <f>_xlfn.CONCAT(A89," a ","schema:Author ;")</f>
        <v>http://www.google.de/search?hl=de&amp;source=hp&amp;q= a schema:Author ;</v>
      </c>
      <c r="O89" s="22" t="str">
        <f>""</f>
        <v/>
      </c>
      <c r="P89" s="52"/>
    </row>
    <row r="90" spans="1:16" ht="15" hidden="1" customHeight="1">
      <c r="A90" s="123" t="s">
        <v>51</v>
      </c>
      <c r="B90" s="22"/>
      <c r="C90" s="23"/>
      <c r="D90" s="23"/>
      <c r="E90" s="24"/>
      <c r="F90" s="24"/>
      <c r="G90" s="24"/>
      <c r="H90" s="24"/>
      <c r="I90" s="24"/>
      <c r="J90" s="24"/>
      <c r="K90" s="24"/>
      <c r="L90" s="24"/>
      <c r="M90" s="22" t="e">
        <f>_xlfn.CONCAT(B$1,G89,B$1)</f>
        <v>#N/A</v>
      </c>
      <c r="N90" s="22" t="str">
        <f>""</f>
        <v/>
      </c>
      <c r="O90" s="22" t="e">
        <f>_xlfn.CONCAT(A90,M90," ;")</f>
        <v>#N/A</v>
      </c>
      <c r="P90" s="52"/>
    </row>
    <row r="91" spans="1:16" ht="15" hidden="1" customHeight="1">
      <c r="A91" s="123" t="s">
        <v>52</v>
      </c>
      <c r="B91" s="22"/>
      <c r="C91" s="23"/>
      <c r="D91" s="23"/>
      <c r="E91" s="24"/>
      <c r="F91" s="24"/>
      <c r="G91" s="24"/>
      <c r="H91" s="24"/>
      <c r="I91" s="24"/>
      <c r="J91" s="24"/>
      <c r="K91" s="24"/>
      <c r="L91" s="24"/>
      <c r="M91" s="22" t="e">
        <f>_xlfn.CONCAT(B$1,F89,B$1)</f>
        <v>#N/A</v>
      </c>
      <c r="N91" s="22" t="str">
        <f>""</f>
        <v/>
      </c>
      <c r="O91" s="22" t="e">
        <f>_xlfn.CONCAT(A91,M91," ;")</f>
        <v>#N/A</v>
      </c>
      <c r="P91" s="52"/>
    </row>
    <row r="92" spans="1:16" ht="15" hidden="1" customHeight="1">
      <c r="A92" s="123" t="s">
        <v>53</v>
      </c>
      <c r="B92" s="22"/>
      <c r="C92" s="23"/>
      <c r="D92" s="23"/>
      <c r="E92" s="24"/>
      <c r="F92" s="24"/>
      <c r="G92" s="24"/>
      <c r="H92" s="24"/>
      <c r="I92" s="24"/>
      <c r="J92" s="24"/>
      <c r="K92" s="24"/>
      <c r="L92" s="24"/>
      <c r="M92" s="22" t="str">
        <f>_xlfn.CONCAT(B$1,F91,B$1)</f>
        <v>""</v>
      </c>
      <c r="N92" s="22" t="str">
        <f>""</f>
        <v/>
      </c>
      <c r="O92" s="22" t="str">
        <f>_xlfn.CONCAT(A92,M92," .")</f>
        <v>schema:honorificPrefix "" .</v>
      </c>
      <c r="P92" s="101"/>
    </row>
    <row r="93" spans="1:16" ht="15" hidden="1" customHeight="1">
      <c r="A93" s="123"/>
      <c r="B93" s="22"/>
      <c r="C93" s="23"/>
      <c r="D93" s="23"/>
      <c r="E93" s="24"/>
      <c r="F93" s="24"/>
      <c r="G93" s="24"/>
      <c r="H93" s="24"/>
      <c r="I93" s="24"/>
      <c r="J93" s="24"/>
      <c r="K93" s="24"/>
      <c r="L93" s="24"/>
      <c r="M93" s="22"/>
      <c r="N93" s="22" t="str">
        <f>""</f>
        <v/>
      </c>
      <c r="O93" s="22" t="str">
        <f>""</f>
        <v/>
      </c>
      <c r="P93" s="52"/>
    </row>
    <row r="94" spans="1:16" ht="15" hidden="1" customHeight="1">
      <c r="A94" s="125" t="s">
        <v>136</v>
      </c>
      <c r="B94" s="22" t="e">
        <f>TRIM(VLOOKUP(C94,Original!A:B,2,0))</f>
        <v>#N/A</v>
      </c>
      <c r="C94" s="23" t="s">
        <v>17</v>
      </c>
      <c r="D94" s="23" t="e">
        <f>TRIM(LEFT(B94,SEARCH(":",B94)-1))</f>
        <v>#N/A</v>
      </c>
      <c r="E94" s="23" t="e">
        <f>TRIM(IF(ISERROR(MID(D94,FIND(";",D94)+1,FIND("#",SUBSTITUTE(D94,";","#",2))-FIND(";",D94)-1)),MID(D94,FIND("#",SUBSTITUTE(D94,";","#",1))+1,99),MID(D94,FIND(";",D94)+1,FIND("#",SUBSTITUTE(D94,";","#",2))-FIND(";",D94)-1)))</f>
        <v>#N/A</v>
      </c>
      <c r="F94" s="23" t="e">
        <f>TRIM(IF(ISERROR(LEFT(E94,SEARCH(",",E94)-1)),E94,(LEFT(E94,SEARCH(",",E94)-1))))</f>
        <v>#N/A</v>
      </c>
      <c r="G94" s="24" t="e" cm="1">
        <f t="array" ref="G94">IF(EXACT(F94,MID(E94,MAX((MID(E94,COLUMN($1:$1), 1)=" ")*COLUMN($1:$1))+1,999)),"",MID(E94,MAX((MID(E94,COLUMN($1:$1), 1)=" ")*COLUMN($1:$1))+1,999))</f>
        <v>#N/A</v>
      </c>
      <c r="H94" s="24"/>
      <c r="I94" s="24"/>
      <c r="J94" s="24"/>
      <c r="K94" s="24"/>
      <c r="L94" s="24"/>
      <c r="M94" s="22"/>
      <c r="N94" s="22" t="str">
        <f>_xlfn.CONCAT(A94," a ","schema:Author ;")</f>
        <v>https://www.xing.com/profile/xxx a schema:Author ;</v>
      </c>
      <c r="O94" s="22" t="str">
        <f>""</f>
        <v/>
      </c>
      <c r="P94" s="52"/>
    </row>
    <row r="95" spans="1:16" ht="15" hidden="1" customHeight="1">
      <c r="A95" s="123" t="s">
        <v>51</v>
      </c>
      <c r="B95" s="22"/>
      <c r="C95" s="23"/>
      <c r="D95" s="23"/>
      <c r="E95" s="24"/>
      <c r="F95" s="24"/>
      <c r="G95" s="24"/>
      <c r="H95" s="24"/>
      <c r="I95" s="24"/>
      <c r="J95" s="24"/>
      <c r="K95" s="24"/>
      <c r="L95" s="24"/>
      <c r="M95" s="22" t="e">
        <f>_xlfn.CONCAT(B$1,G94,B$1)</f>
        <v>#N/A</v>
      </c>
      <c r="N95" s="22" t="str">
        <f>""</f>
        <v/>
      </c>
      <c r="O95" s="22" t="e">
        <f>_xlfn.CONCAT(A95,M95," ;")</f>
        <v>#N/A</v>
      </c>
      <c r="P95" s="52"/>
    </row>
    <row r="96" spans="1:16" ht="15" hidden="1" customHeight="1">
      <c r="A96" s="123" t="s">
        <v>52</v>
      </c>
      <c r="B96" s="22"/>
      <c r="C96" s="23"/>
      <c r="D96" s="23"/>
      <c r="E96" s="24"/>
      <c r="F96" s="24"/>
      <c r="G96" s="24"/>
      <c r="H96" s="24"/>
      <c r="I96" s="24"/>
      <c r="J96" s="24"/>
      <c r="K96" s="24"/>
      <c r="L96" s="24"/>
      <c r="M96" s="22" t="e">
        <f>_xlfn.CONCAT(B$1,F94,B$1)</f>
        <v>#N/A</v>
      </c>
      <c r="N96" s="22" t="str">
        <f>""</f>
        <v/>
      </c>
      <c r="O96" s="22" t="e">
        <f>_xlfn.CONCAT(A96,M96," ;")</f>
        <v>#N/A</v>
      </c>
      <c r="P96" s="52"/>
    </row>
    <row r="97" spans="1:16" ht="15" hidden="1" customHeight="1">
      <c r="A97" s="123" t="s">
        <v>53</v>
      </c>
      <c r="B97" s="22"/>
      <c r="C97" s="23"/>
      <c r="D97" s="23"/>
      <c r="E97" s="24"/>
      <c r="F97" s="24"/>
      <c r="G97" s="24"/>
      <c r="H97" s="24"/>
      <c r="I97" s="24"/>
      <c r="J97" s="24"/>
      <c r="K97" s="24"/>
      <c r="L97" s="24"/>
      <c r="M97" s="22" t="str">
        <f>_xlfn.CONCAT(B$1,F96,B$1)</f>
        <v>""</v>
      </c>
      <c r="N97" s="22" t="str">
        <f>""</f>
        <v/>
      </c>
      <c r="O97" s="22" t="str">
        <f>_xlfn.CONCAT(A97,M97," .")</f>
        <v>schema:honorificPrefix "" .</v>
      </c>
      <c r="P97" s="101"/>
    </row>
    <row r="98" spans="1:16" ht="15" hidden="1" customHeight="1">
      <c r="A98" s="123"/>
      <c r="B98" s="22"/>
      <c r="C98" s="23"/>
      <c r="D98" s="23"/>
      <c r="E98" s="24"/>
      <c r="F98" s="24"/>
      <c r="G98" s="24"/>
      <c r="H98" s="24"/>
      <c r="I98" s="24"/>
      <c r="J98" s="24"/>
      <c r="K98" s="24"/>
      <c r="L98" s="24"/>
      <c r="M98" s="22"/>
      <c r="N98" s="22" t="str">
        <f>""</f>
        <v/>
      </c>
      <c r="O98" s="22" t="str">
        <f>""</f>
        <v/>
      </c>
      <c r="P98" s="52"/>
    </row>
    <row r="99" spans="1:16" ht="15" hidden="1" customHeight="1">
      <c r="A99" s="125" t="s">
        <v>136</v>
      </c>
      <c r="B99" s="22" t="e">
        <f>TRIM(VLOOKUP(C99,Original!A:B,2,0))</f>
        <v>#N/A</v>
      </c>
      <c r="C99" s="23" t="s">
        <v>17</v>
      </c>
      <c r="D99" s="23" t="e">
        <f>TRIM(LEFT(B99,SEARCH(":",B99)-1))</f>
        <v>#N/A</v>
      </c>
      <c r="E99" s="23" t="e">
        <f>TRIM(IF(ISERROR(MID(D99,FIND(";",D99)+1,FIND("#",SUBSTITUTE(D99,";","#",3))-FIND(";",D99)-1)),MID(D99,FIND("#",SUBSTITUTE(D99,";","#",2))+1,99),MID(D99,FIND("#",SUBSTITUTE(D99,";","#",2))+1,FIND("#",SUBSTITUTE(D99,";","#",3))-FIND("#",SUBSTITUTE(D99,";","#",2))-1)))</f>
        <v>#N/A</v>
      </c>
      <c r="F99" s="23" t="e">
        <f>TRIM(IF(ISERROR(LEFT(E99,SEARCH(",",E99)-1)),E99,(LEFT(E99,SEARCH(",",E99)-1))))</f>
        <v>#N/A</v>
      </c>
      <c r="G99" s="24" t="e" cm="1">
        <f t="array" ref="G99">IF(EXACT(F99,MID(E99,MAX((MID(E99,COLUMN($1:$1), 1)=" ")*COLUMN($1:$1))+1,999)),"",MID(E99,MAX((MID(E99,COLUMN($1:$1), 1)=" ")*COLUMN($1:$1))+1,999))</f>
        <v>#N/A</v>
      </c>
      <c r="H99" s="24"/>
      <c r="I99" s="24"/>
      <c r="J99" s="24"/>
      <c r="K99" s="24"/>
      <c r="L99" s="24"/>
      <c r="M99" s="22"/>
      <c r="N99" s="22" t="str">
        <f>_xlfn.CONCAT(A99," a ","schema:Author ;")</f>
        <v>https://www.xing.com/profile/xxx a schema:Author ;</v>
      </c>
      <c r="O99" s="22" t="str">
        <f>""</f>
        <v/>
      </c>
      <c r="P99" s="52"/>
    </row>
    <row r="100" spans="1:16" ht="15" hidden="1" customHeight="1">
      <c r="A100" s="123" t="s">
        <v>51</v>
      </c>
      <c r="B100" s="22"/>
      <c r="C100" s="23"/>
      <c r="D100" s="23"/>
      <c r="E100" s="24"/>
      <c r="F100" s="24"/>
      <c r="G100" s="24"/>
      <c r="H100" s="24"/>
      <c r="I100" s="24"/>
      <c r="J100" s="24"/>
      <c r="K100" s="24"/>
      <c r="L100" s="24"/>
      <c r="M100" s="22" t="e">
        <f>_xlfn.CONCAT(B$1,G99,B$1)</f>
        <v>#N/A</v>
      </c>
      <c r="N100" s="22" t="str">
        <f>""</f>
        <v/>
      </c>
      <c r="O100" s="22" t="e">
        <f>_xlfn.CONCAT(A100,M100," ;")</f>
        <v>#N/A</v>
      </c>
      <c r="P100" s="52"/>
    </row>
    <row r="101" spans="1:16" ht="15" hidden="1" customHeight="1">
      <c r="A101" s="123" t="s">
        <v>52</v>
      </c>
      <c r="B101" s="22"/>
      <c r="C101" s="23"/>
      <c r="D101" s="23"/>
      <c r="E101" s="24"/>
      <c r="F101" s="24"/>
      <c r="G101" s="24"/>
      <c r="H101" s="24"/>
      <c r="I101" s="24"/>
      <c r="J101" s="24"/>
      <c r="K101" s="24"/>
      <c r="L101" s="24"/>
      <c r="M101" s="22" t="e">
        <f>_xlfn.CONCAT(B$1,F99,B$1)</f>
        <v>#N/A</v>
      </c>
      <c r="N101" s="22" t="str">
        <f>""</f>
        <v/>
      </c>
      <c r="O101" s="22" t="e">
        <f>_xlfn.CONCAT(A101,M101," ;")</f>
        <v>#N/A</v>
      </c>
      <c r="P101" s="52"/>
    </row>
    <row r="102" spans="1:16" ht="15" hidden="1" customHeight="1">
      <c r="A102" s="123" t="s">
        <v>53</v>
      </c>
      <c r="B102" s="22"/>
      <c r="C102" s="23"/>
      <c r="D102" s="23"/>
      <c r="E102" s="24"/>
      <c r="F102" s="24"/>
      <c r="G102" s="24"/>
      <c r="H102" s="24"/>
      <c r="I102" s="24"/>
      <c r="J102" s="24"/>
      <c r="K102" s="24"/>
      <c r="L102" s="24"/>
      <c r="M102" s="22" t="str">
        <f>_xlfn.CONCAT(B$1,F101,B$1)</f>
        <v>""</v>
      </c>
      <c r="N102" s="22" t="str">
        <f>""</f>
        <v/>
      </c>
      <c r="O102" s="22" t="str">
        <f>_xlfn.CONCAT(A102,M102," .")</f>
        <v>schema:honorificPrefix "" .</v>
      </c>
      <c r="P102" s="101"/>
    </row>
    <row r="103" spans="1:16" ht="15" hidden="1" customHeight="1">
      <c r="A103" s="123"/>
      <c r="B103" s="22"/>
      <c r="C103" s="23"/>
      <c r="D103" s="23"/>
      <c r="E103" s="24"/>
      <c r="F103" s="24"/>
      <c r="G103" s="24"/>
      <c r="H103" s="24"/>
      <c r="I103" s="24"/>
      <c r="J103" s="24"/>
      <c r="K103" s="24"/>
      <c r="L103" s="24"/>
      <c r="M103" s="22"/>
      <c r="N103" s="22" t="str">
        <f>""</f>
        <v/>
      </c>
      <c r="O103" s="22" t="str">
        <f>""</f>
        <v/>
      </c>
      <c r="P103" s="52"/>
    </row>
    <row r="104" spans="1:16" ht="15" hidden="1" customHeight="1">
      <c r="A104" s="125" t="s">
        <v>136</v>
      </c>
      <c r="B104" s="22" t="e">
        <f>TRIM(VLOOKUP(C104,Original!A:B,2,0))</f>
        <v>#N/A</v>
      </c>
      <c r="C104" s="23" t="s">
        <v>17</v>
      </c>
      <c r="D104" s="23" t="e">
        <f>TRIM(LEFT(B104,SEARCH(":",B104)-1))</f>
        <v>#N/A</v>
      </c>
      <c r="E104" s="23" t="e">
        <f>TRIM(IF(ISERROR(MID(D104,FIND(";",D104)+1,FIND("#",SUBSTITUTE(D104,";","#",4))-FIND(";",D104)-1)),MID(D104,FIND("#",SUBSTITUTE(D104,";","#",3))+1,99),MID(D104,FIND(";",D104)+1,FIND("#",SUBSTITUTE(D104,";","#",4))-FIND(";",D104)-1)))</f>
        <v>#N/A</v>
      </c>
      <c r="F104" s="23" t="e">
        <f>TRIM(IF(ISERROR(LEFT(E104,SEARCH(",",E104)-1)),E104,(LEFT(E104,SEARCH(",",E104)-1))))</f>
        <v>#N/A</v>
      </c>
      <c r="G104" s="24" t="e" cm="1">
        <f t="array" ref="G104">IF(EXACT(F104,MID(E104,MAX((MID(E104,COLUMN($1:$1), 1)=" ")*COLUMN($1:$1))+1,999)),"",MID(E104,MAX((MID(E104,COLUMN($1:$1), 1)=" ")*COLUMN($1:$1))+1,999))</f>
        <v>#N/A</v>
      </c>
      <c r="H104" s="24"/>
      <c r="I104" s="24"/>
      <c r="J104" s="24"/>
      <c r="K104" s="24"/>
      <c r="L104" s="24"/>
      <c r="M104" s="22"/>
      <c r="N104" s="22" t="str">
        <f>_xlfn.CONCAT(A104," a ","schema:Author ;")</f>
        <v>https://www.xing.com/profile/xxx a schema:Author ;</v>
      </c>
      <c r="O104" s="22" t="str">
        <f>""</f>
        <v/>
      </c>
      <c r="P104" s="52"/>
    </row>
    <row r="105" spans="1:16" ht="15" hidden="1" customHeight="1">
      <c r="A105" s="123" t="s">
        <v>51</v>
      </c>
      <c r="B105" s="22"/>
      <c r="C105" s="23"/>
      <c r="D105" s="23"/>
      <c r="E105" s="24"/>
      <c r="F105" s="24"/>
      <c r="G105" s="24"/>
      <c r="H105" s="24"/>
      <c r="I105" s="24"/>
      <c r="J105" s="24"/>
      <c r="K105" s="24"/>
      <c r="L105" s="24"/>
      <c r="M105" s="22" t="e">
        <f>_xlfn.CONCAT(B$1,G104,B$1)</f>
        <v>#N/A</v>
      </c>
      <c r="N105" s="22" t="str">
        <f>""</f>
        <v/>
      </c>
      <c r="O105" s="22" t="e">
        <f>_xlfn.CONCAT(A105,M105," ;")</f>
        <v>#N/A</v>
      </c>
      <c r="P105" s="52"/>
    </row>
    <row r="106" spans="1:16" ht="15" hidden="1" customHeight="1">
      <c r="A106" s="123" t="s">
        <v>52</v>
      </c>
      <c r="B106" s="22"/>
      <c r="C106" s="23"/>
      <c r="D106" s="23"/>
      <c r="E106" s="24"/>
      <c r="F106" s="24"/>
      <c r="G106" s="24"/>
      <c r="H106" s="24"/>
      <c r="I106" s="24"/>
      <c r="J106" s="24"/>
      <c r="K106" s="24"/>
      <c r="L106" s="24"/>
      <c r="M106" s="22" t="e">
        <f>_xlfn.CONCAT(B$1,F104,B$1)</f>
        <v>#N/A</v>
      </c>
      <c r="N106" s="22" t="str">
        <f>""</f>
        <v/>
      </c>
      <c r="O106" s="22" t="e">
        <f>_xlfn.CONCAT(A106,M106," ;")</f>
        <v>#N/A</v>
      </c>
      <c r="P106" s="52"/>
    </row>
    <row r="107" spans="1:16" ht="15" hidden="1" customHeight="1">
      <c r="A107" s="123" t="s">
        <v>53</v>
      </c>
      <c r="B107" s="22"/>
      <c r="C107" s="23"/>
      <c r="D107" s="23"/>
      <c r="E107" s="24"/>
      <c r="F107" s="24"/>
      <c r="G107" s="24"/>
      <c r="H107" s="24"/>
      <c r="I107" s="24"/>
      <c r="J107" s="24"/>
      <c r="K107" s="24"/>
      <c r="L107" s="24"/>
      <c r="M107" s="22" t="str">
        <f>_xlfn.CONCAT(B$1,F106,B$1)</f>
        <v>""</v>
      </c>
      <c r="N107" s="22" t="str">
        <f>""</f>
        <v/>
      </c>
      <c r="O107" s="22" t="str">
        <f>_xlfn.CONCAT(A107,M107," .")</f>
        <v>schema:honorificPrefix "" .</v>
      </c>
      <c r="P107" s="101"/>
    </row>
    <row r="108" spans="1:16" ht="15" hidden="1" customHeight="1">
      <c r="A108" s="123"/>
      <c r="B108" s="22"/>
      <c r="C108" s="23"/>
      <c r="D108" s="23"/>
      <c r="E108" s="24"/>
      <c r="F108" s="24"/>
      <c r="G108" s="24"/>
      <c r="H108" s="24"/>
      <c r="I108" s="24"/>
      <c r="J108" s="24"/>
      <c r="K108" s="24"/>
      <c r="L108" s="24"/>
      <c r="M108" s="22"/>
      <c r="N108" s="22" t="str">
        <f>""</f>
        <v/>
      </c>
      <c r="O108" s="22" t="str">
        <f>""</f>
        <v/>
      </c>
      <c r="P108" s="52"/>
    </row>
    <row r="109" spans="1:16" ht="15" hidden="1" customHeight="1">
      <c r="A109" s="125" t="s">
        <v>136</v>
      </c>
      <c r="B109" s="22" t="e">
        <f>TRIM(VLOOKUP(C109,Original!A:B,2,0))</f>
        <v>#N/A</v>
      </c>
      <c r="C109" s="23" t="s">
        <v>17</v>
      </c>
      <c r="D109" s="23" t="e">
        <f>TRIM(LEFT(B109,SEARCH(":",B109)-1))</f>
        <v>#N/A</v>
      </c>
      <c r="E109" s="23" t="e">
        <f>TRIM(IF(ISERROR(MID(D109,FIND(";",D109)+1,FIND("#",SUBSTITUTE(D109,";","#",5))-FIND(";",D109)-1)),MID(D109,FIND("#",SUBSTITUTE(D109,";","#",4))+1,99),MID(D109,FIND(";",D109)+1,FIND("#",SUBSTITUTE(D109,";","#",5))-FIND(";",D109)-1)))</f>
        <v>#N/A</v>
      </c>
      <c r="F109" s="23" t="e">
        <f>TRIM(IF(ISERROR(LEFT(E109,SEARCH(",",E109)-1)),E109,(LEFT(E109,SEARCH(",",E109)-1))))</f>
        <v>#N/A</v>
      </c>
      <c r="G109" s="24" t="e" cm="1">
        <f t="array" ref="G109">IF(EXACT(F109,MID(E109,MAX((MID(E109,COLUMN(102:102), 1)=" ")*COLUMN(102:102))+1,999)),"",MID(E109,MAX((MID(E109,COLUMN(102:102), 1)=" ")*COLUMN(102:102))+1,999))</f>
        <v>#N/A</v>
      </c>
      <c r="H109" s="24"/>
      <c r="I109" s="24"/>
      <c r="J109" s="24"/>
      <c r="K109" s="24"/>
      <c r="L109" s="24"/>
      <c r="M109" s="22"/>
      <c r="N109" s="22" t="str">
        <f>_xlfn.CONCAT(A109," a ","schema:Author ;")</f>
        <v>https://www.xing.com/profile/xxx a schema:Author ;</v>
      </c>
      <c r="O109" s="22" t="str">
        <f>""</f>
        <v/>
      </c>
      <c r="P109" s="52"/>
    </row>
    <row r="110" spans="1:16" ht="15" hidden="1" customHeight="1">
      <c r="A110" s="123" t="s">
        <v>51</v>
      </c>
      <c r="B110" s="22"/>
      <c r="C110" s="23"/>
      <c r="D110" s="23"/>
      <c r="E110" s="24"/>
      <c r="F110" s="24"/>
      <c r="G110" s="24"/>
      <c r="H110" s="24"/>
      <c r="I110" s="24"/>
      <c r="J110" s="24"/>
      <c r="K110" s="24"/>
      <c r="L110" s="24"/>
      <c r="M110" s="22" t="e">
        <f>_xlfn.CONCAT(B$1,G109,B$1)</f>
        <v>#N/A</v>
      </c>
      <c r="N110" s="22" t="str">
        <f>""</f>
        <v/>
      </c>
      <c r="O110" s="22" t="e">
        <f>_xlfn.CONCAT(A110,M110," ;")</f>
        <v>#N/A</v>
      </c>
      <c r="P110" s="52"/>
    </row>
    <row r="111" spans="1:16" ht="15" hidden="1" customHeight="1">
      <c r="A111" s="123" t="s">
        <v>52</v>
      </c>
      <c r="B111" s="22"/>
      <c r="C111" s="23"/>
      <c r="D111" s="23"/>
      <c r="E111" s="24"/>
      <c r="F111" s="24"/>
      <c r="G111" s="24"/>
      <c r="H111" s="24"/>
      <c r="I111" s="24"/>
      <c r="J111" s="24"/>
      <c r="K111" s="24"/>
      <c r="L111" s="24"/>
      <c r="M111" s="22" t="e">
        <f>_xlfn.CONCAT(B$1,F109,B$1)</f>
        <v>#N/A</v>
      </c>
      <c r="N111" s="22" t="str">
        <f>""</f>
        <v/>
      </c>
      <c r="O111" s="22" t="e">
        <f>_xlfn.CONCAT(A111,M111," ;")</f>
        <v>#N/A</v>
      </c>
      <c r="P111" s="52"/>
    </row>
    <row r="112" spans="1:16" ht="15" hidden="1" customHeight="1">
      <c r="A112" s="123" t="s">
        <v>53</v>
      </c>
      <c r="B112" s="22"/>
      <c r="C112" s="23"/>
      <c r="D112" s="23"/>
      <c r="E112" s="24"/>
      <c r="F112" s="24"/>
      <c r="G112" s="24"/>
      <c r="H112" s="24"/>
      <c r="I112" s="24"/>
      <c r="J112" s="24"/>
      <c r="K112" s="24"/>
      <c r="L112" s="24"/>
      <c r="M112" s="22" t="str">
        <f>_xlfn.CONCAT(B$1,F111,B$1)</f>
        <v>""</v>
      </c>
      <c r="N112" s="22" t="str">
        <f>""</f>
        <v/>
      </c>
      <c r="O112" s="22" t="str">
        <f>_xlfn.CONCAT(A112,M112," .")</f>
        <v>schema:honorificPrefix "" .</v>
      </c>
      <c r="P112" s="101"/>
    </row>
    <row r="113" spans="1:16" ht="15" hidden="1" customHeight="1">
      <c r="A113" s="126"/>
      <c r="B113" s="28"/>
      <c r="C113" s="54"/>
      <c r="D113" s="54"/>
      <c r="E113" s="29"/>
      <c r="F113" s="29"/>
      <c r="G113" s="29"/>
      <c r="H113" s="29"/>
      <c r="I113" s="29"/>
      <c r="J113" s="29"/>
      <c r="K113" s="29"/>
      <c r="L113" s="29"/>
      <c r="M113" s="28"/>
      <c r="N113" s="22" t="str">
        <f>""</f>
        <v/>
      </c>
      <c r="O113" s="22" t="str">
        <f>""</f>
        <v/>
      </c>
      <c r="P113" s="55"/>
    </row>
    <row r="114" spans="1:16" ht="15" customHeight="1">
      <c r="A114" s="122" t="s">
        <v>119</v>
      </c>
      <c r="B114" s="19"/>
      <c r="C114" s="20"/>
      <c r="D114" s="201"/>
      <c r="E114" s="201"/>
      <c r="F114" s="201"/>
      <c r="G114" s="201"/>
      <c r="H114" s="201"/>
      <c r="I114" s="201"/>
      <c r="J114" s="201"/>
      <c r="K114" s="97"/>
      <c r="L114" s="97"/>
      <c r="M114" s="19"/>
      <c r="N114" s="19"/>
      <c r="O114" s="19"/>
      <c r="P114" s="88"/>
    </row>
    <row r="115" spans="1:16" ht="15" hidden="1" customHeight="1">
      <c r="A115" s="13" t="s">
        <v>147</v>
      </c>
      <c r="N115" s="22" t="str">
        <f>_xlfn.CONCAT(A115," a ","schema:Organization ;")</f>
        <v>wd:Qyyy a schema:Organization ;</v>
      </c>
    </row>
    <row r="116" spans="1:16" ht="15" hidden="1" customHeight="1">
      <c r="A116" s="13" t="s">
        <v>120</v>
      </c>
      <c r="M116" s="22" t="str">
        <f>_xlfn.CONCAT(B$1,F115,B$1)</f>
        <v>""</v>
      </c>
      <c r="O116" s="22" t="str">
        <f>_xlfn.CONCAT(A116,M116," ;")</f>
        <v>schema:legalName "" ;</v>
      </c>
    </row>
    <row r="117" spans="1:16" ht="15" hidden="1" customHeight="1">
      <c r="A117" s="13" t="s">
        <v>63</v>
      </c>
      <c r="M117" s="22" t="str">
        <f>_xlfn.CONCAT(B$1,F116,B$1)</f>
        <v>""</v>
      </c>
      <c r="O117" s="22" t="str">
        <f>_xlfn.CONCAT(A117,M117," .")</f>
        <v>schema:url "" .</v>
      </c>
    </row>
    <row r="118" spans="1:16" ht="15" hidden="1" customHeight="1">
      <c r="A118" s="13"/>
    </row>
    <row r="119" spans="1:16" ht="15" customHeight="1">
      <c r="A119" s="122" t="s">
        <v>121</v>
      </c>
      <c r="B119" s="19"/>
      <c r="C119" s="20"/>
      <c r="D119" s="201"/>
      <c r="E119" s="201"/>
      <c r="F119" s="201"/>
      <c r="G119" s="201"/>
      <c r="H119" s="201"/>
      <c r="I119" s="201"/>
      <c r="J119" s="201"/>
      <c r="K119" s="97"/>
      <c r="L119" s="97"/>
      <c r="M119" s="19"/>
      <c r="N119" s="19"/>
      <c r="O119" s="19"/>
      <c r="P119" s="88"/>
    </row>
    <row r="120" spans="1:16" ht="15" hidden="1" customHeight="1">
      <c r="A120" s="13" t="s">
        <v>142</v>
      </c>
      <c r="M120" s="22"/>
      <c r="N120" s="22" t="str">
        <f>_xlfn.CONCAT(A120," a ","schema:Book ;")</f>
        <v>&lt;http://doi.org/zzBook&gt;  a schema:Book ;</v>
      </c>
      <c r="O120" s="5" t="str">
        <f>""</f>
        <v/>
      </c>
    </row>
    <row r="121" spans="1:16" ht="15" hidden="1" customHeight="1">
      <c r="A121" s="13" t="s">
        <v>137</v>
      </c>
      <c r="M121" s="22"/>
      <c r="P121" s="99" t="s">
        <v>138</v>
      </c>
    </row>
    <row r="122" spans="1:16" ht="15" hidden="1" customHeight="1">
      <c r="A122" s="13" t="s">
        <v>143</v>
      </c>
      <c r="N122" s="22" t="str">
        <f>_xlfn.CONCAT(A122,"&lt;http://orcid.org/xxAuthor&gt; ;")</f>
        <v>schema:Author &lt;http://orcid.org/xxAuthor&gt; ;</v>
      </c>
      <c r="P122" s="99" t="s">
        <v>139</v>
      </c>
    </row>
    <row r="123" spans="1:16" ht="15" hidden="1" customHeight="1">
      <c r="A123" s="13" t="s">
        <v>144</v>
      </c>
      <c r="B123" s="22" t="e">
        <f>TRIM(VLOOKUP(C123,Original!A:B,2,0))</f>
        <v>#N/A</v>
      </c>
      <c r="C123" s="13" t="s">
        <v>17</v>
      </c>
      <c r="D123" s="13" t="e">
        <f>TRIM(MID(B123,LEN(B123)-LEN(TRIM(LEFT(B123,SEARCH("(",B123)-1))),99))</f>
        <v>#N/A</v>
      </c>
      <c r="E123" s="13" t="e">
        <f>MID(D123,1,LEN(D123)-LEN(F123))</f>
        <v>#N/A</v>
      </c>
      <c r="F123" s="13" t="e">
        <f>MID(B123,LEN(B123)-LEN(TRIM(LEFT(B123,SEARCH(":",B123)-1))),99)</f>
        <v>#N/A</v>
      </c>
      <c r="G123" s="13" t="e">
        <f>SUBSTITUTE(SUBSTITUTE(SUBSTITUTE(F123,"(",""),")",""),".","")</f>
        <v>#N/A</v>
      </c>
      <c r="H123" s="13" t="e">
        <f>TRIM(SUBSTITUTE(SUBSTITUTE(G123,",",""),I123,""))</f>
        <v>#N/A</v>
      </c>
      <c r="I123" s="14" t="e" cm="1">
        <f t="array" ref="I123">TRIM(MID(G123,MAX((MID(G123,COLUMN($1:$1), 1)=",")*COLUMN($1:$1))+1,999))</f>
        <v>#N/A</v>
      </c>
      <c r="M123" s="22" t="e">
        <f>_xlfn.CONCAT(B$1,E123,B$1)</f>
        <v>#N/A</v>
      </c>
      <c r="N123" s="22" t="str">
        <f>""</f>
        <v/>
      </c>
      <c r="O123" s="22" t="e">
        <f>_xlfn.CONCAT(A123,M123," ;")</f>
        <v>#N/A</v>
      </c>
    </row>
    <row r="124" spans="1:16" ht="15" hidden="1" customHeight="1">
      <c r="A124" s="13" t="s">
        <v>145</v>
      </c>
      <c r="B124" s="22"/>
      <c r="D124" s="23"/>
      <c r="M124" s="22" t="e">
        <f>_xlfn.CONCAT(B$1,H123,B$1)</f>
        <v>#N/A</v>
      </c>
      <c r="N124" s="22" t="str">
        <f>""</f>
        <v/>
      </c>
      <c r="O124" s="22" t="e">
        <f>_xlfn.CONCAT(A124,M124," ;")</f>
        <v>#N/A</v>
      </c>
    </row>
    <row r="125" spans="1:16" ht="15" hidden="1" customHeight="1">
      <c r="A125" s="13" t="s">
        <v>146</v>
      </c>
      <c r="M125" s="22" t="e">
        <f>_xlfn.CONCAT(B$1,I123,B$1)</f>
        <v>#N/A</v>
      </c>
      <c r="N125" s="22" t="str">
        <f>""</f>
        <v/>
      </c>
      <c r="O125" s="22" t="e">
        <f>_xlfn.CONCAT(A125,M125," ;")</f>
        <v>#N/A</v>
      </c>
    </row>
    <row r="126" spans="1:16" ht="15" hidden="1" customHeight="1">
      <c r="A126" s="13" t="s">
        <v>63</v>
      </c>
      <c r="M126" s="22" t="str">
        <f>_xlfn.CONCAT(B$1,I124,B$1)</f>
        <v>""</v>
      </c>
      <c r="O126" s="22" t="str">
        <f>_xlfn.CONCAT(A126,M126," .")</f>
        <v>schema:url "" .</v>
      </c>
    </row>
    <row r="127" spans="1:16" ht="15" hidden="1" customHeight="1">
      <c r="A127" s="13"/>
    </row>
    <row r="128" spans="1:16" ht="31" hidden="1">
      <c r="A128" s="13" t="s">
        <v>126</v>
      </c>
    </row>
    <row r="129" spans="1:1" ht="31" hidden="1">
      <c r="A129" s="13" t="s">
        <v>122</v>
      </c>
    </row>
    <row r="130" spans="1:1" ht="15" hidden="1" customHeight="1">
      <c r="A130" s="13" t="s">
        <v>123</v>
      </c>
    </row>
    <row r="131" spans="1:1" ht="15" hidden="1" customHeight="1">
      <c r="A131" s="13" t="s">
        <v>124</v>
      </c>
    </row>
    <row r="132" spans="1:1" ht="15" hidden="1" customHeight="1">
      <c r="A132" s="13" t="s">
        <v>125</v>
      </c>
    </row>
    <row r="133" spans="1:1" ht="46.5" hidden="1">
      <c r="A133" s="13" t="s">
        <v>127</v>
      </c>
    </row>
    <row r="134" spans="1:1" ht="15" hidden="1" customHeight="1">
      <c r="A134" s="13" t="s">
        <v>128</v>
      </c>
    </row>
    <row r="135" spans="1:1" ht="15" hidden="1" customHeight="1">
      <c r="A135" s="13" t="s">
        <v>129</v>
      </c>
    </row>
    <row r="136" spans="1:1" ht="15" hidden="1" customHeight="1">
      <c r="A136" s="13"/>
    </row>
    <row r="137" spans="1:1" ht="31" hidden="1">
      <c r="A137" s="13" t="s">
        <v>130</v>
      </c>
    </row>
    <row r="138" spans="1:1" ht="15" hidden="1" customHeight="1">
      <c r="A138" s="13" t="s">
        <v>123</v>
      </c>
    </row>
    <row r="139" spans="1:1" ht="15" hidden="1" customHeight="1">
      <c r="A139" s="13" t="s">
        <v>125</v>
      </c>
    </row>
    <row r="140" spans="1:1" ht="15" hidden="1" customHeight="1">
      <c r="A140" s="13"/>
    </row>
    <row r="141" spans="1:1" ht="31" hidden="1">
      <c r="A141" s="13" t="s">
        <v>131</v>
      </c>
    </row>
    <row r="142" spans="1:1" ht="15" hidden="1" customHeight="1">
      <c r="A142" s="13" t="s">
        <v>132</v>
      </c>
    </row>
    <row r="143" spans="1:1" ht="15" hidden="1" customHeight="1">
      <c r="A143" s="13" t="s">
        <v>123</v>
      </c>
    </row>
    <row r="144" spans="1:1" ht="15" hidden="1" customHeight="1">
      <c r="A144" s="13" t="s">
        <v>124</v>
      </c>
    </row>
    <row r="145" spans="1:17" ht="15" hidden="1" customHeight="1">
      <c r="A145" s="13" t="s">
        <v>125</v>
      </c>
    </row>
    <row r="146" spans="1:17" ht="15" hidden="1" customHeight="1">
      <c r="A146" s="13"/>
    </row>
    <row r="147" spans="1:17" ht="15" customHeight="1">
      <c r="A147" s="122" t="s">
        <v>133</v>
      </c>
      <c r="B147" s="19"/>
      <c r="C147" s="20"/>
      <c r="D147" s="201"/>
      <c r="E147" s="201"/>
      <c r="F147" s="201"/>
      <c r="G147" s="201"/>
      <c r="H147" s="201"/>
      <c r="I147" s="201"/>
      <c r="J147" s="201"/>
      <c r="K147" s="97"/>
      <c r="L147" s="97"/>
      <c r="M147" s="19"/>
      <c r="N147" s="19"/>
      <c r="O147" s="19"/>
      <c r="P147" s="88"/>
    </row>
    <row r="148" spans="1:17" ht="15" hidden="1" customHeight="1">
      <c r="A148" s="5" t="s">
        <v>134</v>
      </c>
    </row>
    <row r="149" spans="1:17" ht="15" hidden="1" customHeight="1">
      <c r="A149" s="5" t="s">
        <v>135</v>
      </c>
    </row>
    <row r="150" spans="1:17" ht="15" hidden="1" customHeight="1">
      <c r="A150" s="5" t="s">
        <v>125</v>
      </c>
    </row>
    <row r="151" spans="1:17" ht="15" customHeight="1"/>
    <row r="152" spans="1:17">
      <c r="A152" s="68" t="s">
        <v>67</v>
      </c>
      <c r="B152" s="19"/>
      <c r="C152" s="20"/>
      <c r="D152" s="201"/>
      <c r="E152" s="201"/>
      <c r="F152" s="201"/>
      <c r="G152" s="201"/>
      <c r="H152" s="201"/>
      <c r="I152" s="201"/>
      <c r="J152" s="201"/>
      <c r="K152" s="97"/>
      <c r="L152" s="97"/>
      <c r="M152" s="19"/>
      <c r="N152" s="19"/>
      <c r="O152" s="19"/>
      <c r="P152" s="31"/>
      <c r="Q152" s="72"/>
    </row>
    <row r="153" spans="1:17">
      <c r="A153" s="45"/>
      <c r="B153" s="46"/>
      <c r="C153" s="47"/>
      <c r="D153" s="49"/>
      <c r="E153" s="49"/>
      <c r="F153" s="49"/>
      <c r="G153" s="49"/>
      <c r="H153" s="49"/>
      <c r="I153" s="49"/>
      <c r="J153" s="49"/>
      <c r="K153" s="98"/>
      <c r="L153" s="98"/>
      <c r="M153" s="46"/>
      <c r="N153" s="46"/>
      <c r="O153" s="46"/>
      <c r="P153" s="60"/>
      <c r="Q153" s="72"/>
    </row>
    <row r="154" spans="1:17" ht="15" customHeight="1">
      <c r="A154" s="75" t="s">
        <v>68</v>
      </c>
      <c r="B154" s="33"/>
      <c r="C154" s="34"/>
      <c r="D154" s="34"/>
      <c r="E154" s="35"/>
      <c r="F154" s="35"/>
      <c r="G154" s="35"/>
      <c r="H154" s="35"/>
      <c r="I154" s="35"/>
      <c r="J154" s="35"/>
      <c r="K154" s="35"/>
      <c r="L154" s="35"/>
      <c r="M154" s="33" t="e">
        <f>M$3</f>
        <v>#N/A</v>
      </c>
      <c r="N154" s="33" t="e">
        <f>_xlfn.CONCAT(A154,M154," a ","schema:PropertyValue ;")</f>
        <v>#N/A</v>
      </c>
      <c r="O154" s="33"/>
      <c r="P154" s="76"/>
    </row>
    <row r="155" spans="1:17" ht="15" customHeight="1">
      <c r="A155" s="77" t="s">
        <v>74</v>
      </c>
      <c r="B155" s="78"/>
      <c r="C155" s="79"/>
      <c r="D155" s="79"/>
      <c r="E155" s="80"/>
      <c r="F155" s="80"/>
      <c r="G155" s="80"/>
      <c r="H155" s="80"/>
      <c r="I155" s="80"/>
      <c r="J155" s="80"/>
      <c r="K155" s="80"/>
      <c r="L155" s="80"/>
      <c r="M155" s="81" t="e">
        <f>M$3</f>
        <v>#N/A</v>
      </c>
      <c r="N155" s="81" t="str">
        <f>""</f>
        <v/>
      </c>
      <c r="O155" s="78" t="e">
        <f>_xlfn.CONCAT(A155,"module:TF1_",M155," , ","module:TF2_",M155," .")</f>
        <v>#N/A</v>
      </c>
      <c r="P155" s="82"/>
    </row>
    <row r="156" spans="1:17" ht="15" customHeight="1">
      <c r="A156" s="21"/>
      <c r="B156" s="22"/>
      <c r="C156" s="23"/>
      <c r="D156" s="23"/>
      <c r="E156" s="24"/>
      <c r="F156" s="24"/>
      <c r="G156" s="24"/>
      <c r="H156" s="24"/>
      <c r="I156" s="24"/>
      <c r="J156" s="24"/>
      <c r="K156" s="24"/>
      <c r="L156" s="24"/>
      <c r="M156" s="22"/>
      <c r="N156" s="22" t="str">
        <f>""</f>
        <v/>
      </c>
      <c r="O156" s="22" t="str">
        <f>""</f>
        <v/>
      </c>
    </row>
    <row r="157" spans="1:17" ht="15" customHeight="1">
      <c r="A157" s="75" t="s">
        <v>85</v>
      </c>
      <c r="B157" s="33"/>
      <c r="C157" s="34"/>
      <c r="D157" s="35"/>
      <c r="E157" s="34"/>
      <c r="F157" s="35"/>
      <c r="G157" s="35"/>
      <c r="H157" s="35"/>
      <c r="I157" s="35"/>
      <c r="J157" s="35"/>
      <c r="K157" s="35"/>
      <c r="L157" s="35"/>
      <c r="M157" s="33" t="e">
        <f>M$3</f>
        <v>#N/A</v>
      </c>
      <c r="N157" s="33" t="e">
        <f>_xlfn.CONCAT(A157,M157," a ","schema:PropertyValue ;")</f>
        <v>#N/A</v>
      </c>
      <c r="O157" s="33" t="str">
        <f>""</f>
        <v/>
      </c>
      <c r="P157" s="76"/>
    </row>
    <row r="158" spans="1:17" ht="15" customHeight="1">
      <c r="A158" s="21" t="s">
        <v>22</v>
      </c>
      <c r="B158" s="22"/>
      <c r="C158" s="23" t="s">
        <v>11</v>
      </c>
      <c r="D158" s="23" t="e">
        <f>TRIM(VLOOKUP(C158,Original!A:B,2,FALSE))</f>
        <v>#N/A</v>
      </c>
      <c r="E158" s="129" t="e" cm="1">
        <f t="array" ref="E158">IF(ISERROR(FIND(I158,INDEX(Original!$B:$B,MATCH(D158,Original!$B:$B,0)+1))),INDEX(Original!$B:$B,MATCH(D158,Original!$B:$B,0)+1),1)</f>
        <v>#N/A</v>
      </c>
      <c r="F158" s="24" t="e" cm="1">
        <f t="array" ref="F158">IF(E158=1,1,IF(ISERROR(FIND(I158,INDEX(Original!$B:$B,MATCH(D158,Original!$B:$B,0)+2))),INDEX(Original!$B:$B,MATCH(D158,Original!$B:$B,0)+2),1))</f>
        <v>#N/A</v>
      </c>
      <c r="G158" s="24" t="e">
        <f>LEFT(D158,SEARCH(" ",D158)-1)</f>
        <v>#N/A</v>
      </c>
      <c r="H158" s="24" t="e">
        <f>TRIM(SUBSTITUTE(G158,":",""))</f>
        <v>#N/A</v>
      </c>
      <c r="I158" s="24" t="e">
        <f>VLOOKUP(J158,Original!$A:$B,2,0)</f>
        <v>#N/A</v>
      </c>
      <c r="J158" s="23" t="s">
        <v>12</v>
      </c>
      <c r="K158" s="23" t="s">
        <v>206</v>
      </c>
      <c r="L158" s="23" t="e">
        <f>IF(AND(E158=1,I159=D158),K158,IF(ISTEXT(E158),H158,D158))</f>
        <v>#N/A</v>
      </c>
      <c r="M158" s="22" t="e">
        <f>IF(ISNA(L158),_xlfn.CONCAT(B$1,D158,B$1),_xlfn.CONCAT(B$1,L158,B$1))</f>
        <v>#N/A</v>
      </c>
      <c r="N158" s="22" t="str">
        <f>""</f>
        <v/>
      </c>
      <c r="O158" s="22" t="e">
        <f>_xlfn.CONCAT(A158,M158," ;")</f>
        <v>#N/A</v>
      </c>
      <c r="P158" s="52"/>
    </row>
    <row r="159" spans="1:17" ht="15" customHeight="1">
      <c r="A159" s="77" t="s">
        <v>87</v>
      </c>
      <c r="B159" s="78"/>
      <c r="C159" s="79" t="s">
        <v>11</v>
      </c>
      <c r="D159" s="79" t="e">
        <f>TRIM(VLOOKUP(C159,Original!A:B,2,FALSE))</f>
        <v>#N/A</v>
      </c>
      <c r="E159" s="129" t="e" cm="1">
        <f t="array" ref="E159">IF(ISERROR(FIND(I158,INDEX(Original!$B:$B,MATCH(D159,Original!$B:$B,0)+1))),INDEX(Original!$B:$B,MATCH(D159,Original!$B:$B,0)+1),1)</f>
        <v>#N/A</v>
      </c>
      <c r="F159" s="24" t="e" cm="1">
        <f t="array" ref="F159">IF(E159=1,1,IF(ISERROR(FIND(I158,INDEX(Original!$B:$B,MATCH(D159,Original!$B:$B,0)+2))),INDEX(Original!$B:$B,MATCH(D159,Original!$B:$B,0)+2),1))</f>
        <v>#N/A</v>
      </c>
      <c r="G159" s="79" t="e" cm="1">
        <f t="array" ref="G159">1*MID(D159,MATCH(TRUE,ISNUMBER(1*MID(D158,ROW($1:$113),1)),0),COUNT(1*MID(D159,ROW($1:$113),1)))</f>
        <v>#N/A</v>
      </c>
      <c r="H159" s="80" t="e">
        <f>MID(D158,FIND(G159,D158),55)</f>
        <v>#N/A</v>
      </c>
      <c r="I159" s="131" t="s">
        <v>205</v>
      </c>
      <c r="K159" s="24" t="s">
        <v>207</v>
      </c>
      <c r="L159" s="23" t="e">
        <f>IF(AND(E159=1,I159=D159),K159,IF(ISTEXT(E159),H159,D159))</f>
        <v>#N/A</v>
      </c>
      <c r="M159" s="78" t="e">
        <f>IF(ISNA(L159),_xlfn.CONCAT(B$1,D159,B$1),_xlfn.CONCAT(B$1,L159,B$1))</f>
        <v>#N/A</v>
      </c>
      <c r="N159" s="78" t="str">
        <f>""</f>
        <v/>
      </c>
      <c r="O159" s="78" t="e">
        <f>_xlfn.CONCAT(A159,M159," .")</f>
        <v>#N/A</v>
      </c>
      <c r="P159" s="100"/>
    </row>
    <row r="160" spans="1:17" ht="15" customHeight="1">
      <c r="A160" s="21"/>
      <c r="B160" s="22"/>
      <c r="C160" s="23"/>
      <c r="D160" s="23"/>
      <c r="E160" s="130"/>
      <c r="F160" s="130"/>
      <c r="G160" s="87"/>
      <c r="H160" s="80"/>
      <c r="I160" s="87"/>
      <c r="J160" s="130"/>
      <c r="K160" s="130"/>
      <c r="L160" s="130"/>
      <c r="M160" s="22"/>
      <c r="N160" s="22"/>
      <c r="O160" s="22"/>
    </row>
    <row r="161" spans="1:16" ht="15" customHeight="1">
      <c r="A161" s="75" t="s">
        <v>86</v>
      </c>
      <c r="B161" s="33"/>
      <c r="C161" s="34"/>
      <c r="D161" s="34"/>
      <c r="E161" s="24"/>
      <c r="F161" s="24"/>
      <c r="G161" s="24"/>
      <c r="H161" s="24"/>
      <c r="I161" s="24"/>
      <c r="J161" s="23"/>
      <c r="K161" s="23"/>
      <c r="L161" s="23"/>
      <c r="M161" s="33" t="e">
        <f>M$3</f>
        <v>#N/A</v>
      </c>
      <c r="N161" s="33" t="e">
        <f>_xlfn.CONCAT(A161,M161," a ","schema:PropertyValue ;")</f>
        <v>#N/A</v>
      </c>
      <c r="O161" s="33" t="str">
        <f>""</f>
        <v/>
      </c>
      <c r="P161" s="76"/>
    </row>
    <row r="162" spans="1:16" ht="15" customHeight="1">
      <c r="A162" s="21" t="s">
        <v>22</v>
      </c>
      <c r="B162" s="22"/>
      <c r="C162" s="23" t="s">
        <v>11</v>
      </c>
      <c r="D162" s="23" t="e">
        <f>TRIM(VLOOKUP(C162,Original!A:B,2,FALSE))</f>
        <v>#N/A</v>
      </c>
      <c r="E162" s="129" t="e" cm="1">
        <f t="array" ref="E162">IF(ISERROR(FIND(I162,INDEX(Original!$B:$B,MATCH(D162,Original!$B:$B,0)+1))),INDEX(Original!$B:$B,MATCH(D162,Original!$B:$B,0)+1),1)</f>
        <v>#N/A</v>
      </c>
      <c r="F162" s="24" t="e" cm="1">
        <f t="array" ref="F162">IF(E162=1,1,IF(ISERROR(FIND(I162,INDEX(Original!$B:$B,MATCH(D162,Original!$B:$B,0)+2))),INDEX(Original!$B:$B,MATCH(D162,Original!$B:$B,0)+2),1))</f>
        <v>#N/A</v>
      </c>
      <c r="G162" s="24" t="e">
        <f>LEFT(E162,SEARCH(" ",E162)-1)</f>
        <v>#N/A</v>
      </c>
      <c r="H162" s="24" t="e">
        <f>TRIM(SUBSTITUTE(G162,":",""))</f>
        <v>#N/A</v>
      </c>
      <c r="I162" s="24" t="e">
        <f>VLOOKUP(J162,Original!$A:$B,2,0)</f>
        <v>#N/A</v>
      </c>
      <c r="J162" s="23" t="s">
        <v>12</v>
      </c>
      <c r="K162" s="23" t="s">
        <v>208</v>
      </c>
      <c r="L162" s="23" t="e">
        <f>IF(AND(E162=1,I163=D162),K162,IF(ISTEXT(E162),H162,D162))</f>
        <v>#N/A</v>
      </c>
      <c r="M162" s="22" t="e">
        <f>IF(ISNA(L162),_xlfn.CONCAT(B$1,D162,B$1),_xlfn.CONCAT(B$1,L162,B$1))</f>
        <v>#N/A</v>
      </c>
      <c r="N162" s="22" t="str">
        <f>""</f>
        <v/>
      </c>
      <c r="O162" s="22" t="e">
        <f>_xlfn.CONCAT(A162,M162," ;")</f>
        <v>#N/A</v>
      </c>
      <c r="P162" s="52"/>
    </row>
    <row r="163" spans="1:16" ht="15" customHeight="1">
      <c r="A163" s="77" t="s">
        <v>87</v>
      </c>
      <c r="B163" s="78"/>
      <c r="C163" s="79" t="s">
        <v>11</v>
      </c>
      <c r="D163" s="79" t="e">
        <f>TRIM(VLOOKUP(C163,Original!A:B,2,FALSE))</f>
        <v>#N/A</v>
      </c>
      <c r="E163" s="85" t="e" cm="1">
        <f t="array" ref="E163">IF(ISERROR(FIND(I162,INDEX(Original!$B:$B,MATCH(D163,Original!$B:$B,0)+1))),INDEX(Original!$B:$B,MATCH(D163,Original!$B:$B,0)+1),1)</f>
        <v>#N/A</v>
      </c>
      <c r="F163" s="80" t="e" cm="1">
        <f t="array" ref="F163">IF(E163=1,1,IF(ISERROR(FIND(I162,INDEX(Original!$B:$B,MATCH(D163,Original!$B:$B,0)+2))),INDEX(Original!$B:$B,MATCH(D163,Original!$B:$B,0)+2),1))</f>
        <v>#N/A</v>
      </c>
      <c r="G163" s="23" t="e">
        <f t="array" ref="G163">1*MID(D163,MATCH(TRUE,ISNUMBER(1*MID(D163,ROW($1:$113),1)),0),COUNT(1*MID(D163,ROW($1:$113),1)))</f>
        <v>#N/A</v>
      </c>
      <c r="H163" s="80" t="e">
        <f>MID(D163,FIND(G163,D163),55)</f>
        <v>#N/A</v>
      </c>
      <c r="I163" s="131" t="s">
        <v>205</v>
      </c>
      <c r="J163" s="80"/>
      <c r="K163" s="80" t="s">
        <v>207</v>
      </c>
      <c r="L163" s="80" t="e">
        <f>IF(AND(E163=1,I163=D163),K163,IF(ISTEXT(E163),H163,D163))</f>
        <v>#N/A</v>
      </c>
      <c r="M163" s="78" t="e">
        <f>IF(ISNA(L163),_xlfn.CONCAT(B$1,D163,B$1),_xlfn.CONCAT(B$1,L163,B$1))</f>
        <v>#N/A</v>
      </c>
      <c r="N163" s="78" t="str">
        <f>""</f>
        <v/>
      </c>
      <c r="O163" s="78" t="e">
        <f>_xlfn.CONCAT(A163,M163," .")</f>
        <v>#N/A</v>
      </c>
      <c r="P163" s="82"/>
    </row>
    <row r="164" spans="1:16" ht="15" customHeight="1">
      <c r="A164" s="21"/>
      <c r="B164" s="22"/>
      <c r="C164" s="23"/>
      <c r="D164" s="23"/>
      <c r="E164" s="24"/>
      <c r="F164" s="24"/>
      <c r="G164" s="130"/>
      <c r="H164" s="24"/>
      <c r="I164" s="130"/>
      <c r="J164" s="24"/>
      <c r="K164" s="24"/>
      <c r="L164" s="24"/>
      <c r="M164" s="22"/>
      <c r="N164" s="22" t="str">
        <f>""</f>
        <v/>
      </c>
      <c r="O164" s="22" t="str">
        <f>""</f>
        <v/>
      </c>
    </row>
    <row r="165" spans="1:16" ht="15" customHeight="1">
      <c r="A165" s="75" t="s">
        <v>88</v>
      </c>
      <c r="B165" s="33"/>
      <c r="C165" s="34"/>
      <c r="D165" s="34"/>
      <c r="E165" s="35"/>
      <c r="F165" s="35"/>
      <c r="G165" s="35"/>
      <c r="H165" s="35"/>
      <c r="I165" s="24"/>
      <c r="J165" s="35"/>
      <c r="K165" s="35"/>
      <c r="L165" s="35"/>
      <c r="M165" s="33" t="e">
        <f>M$3</f>
        <v>#N/A</v>
      </c>
      <c r="N165" s="33" t="e">
        <f>_xlfn.CONCAT(A165,M165," a ","schema:PropertyValue ;")</f>
        <v>#N/A</v>
      </c>
      <c r="O165" s="33" t="str">
        <f>""</f>
        <v/>
      </c>
      <c r="P165" s="76"/>
    </row>
    <row r="166" spans="1:16" ht="15" customHeight="1">
      <c r="A166" s="21" t="s">
        <v>99</v>
      </c>
      <c r="B166" s="22" t="s">
        <v>212</v>
      </c>
      <c r="C166" s="23"/>
      <c r="D166" s="23"/>
      <c r="E166" s="24"/>
      <c r="F166" s="24"/>
      <c r="G166" s="24"/>
      <c r="H166" s="24"/>
      <c r="I166" s="24"/>
      <c r="J166" s="24"/>
      <c r="K166" s="24"/>
      <c r="L166" s="24"/>
      <c r="M166" s="22" t="str">
        <f>_xlfn.CONCAT(B$1,B166,B$1)</f>
        <v>"Workload"</v>
      </c>
      <c r="N166" s="22"/>
      <c r="O166" s="22" t="str">
        <f>_xlfn.CONCAT(A166,M166," ;")</f>
        <v>schema:identifier "Workload" ;</v>
      </c>
      <c r="P166" s="52"/>
    </row>
    <row r="167" spans="1:16" ht="15" customHeight="1">
      <c r="A167" s="21" t="s">
        <v>213</v>
      </c>
      <c r="B167" s="22"/>
      <c r="C167" s="23"/>
      <c r="D167" s="23"/>
      <c r="E167" s="24"/>
      <c r="F167" s="24"/>
      <c r="G167" s="24"/>
      <c r="H167" s="24"/>
      <c r="I167" s="24"/>
      <c r="J167" s="24"/>
      <c r="K167" s="24"/>
      <c r="L167" s="24" t="s">
        <v>214</v>
      </c>
      <c r="M167" s="22" t="str">
        <f>_xlfn.CONCAT(B$1,L167,B$1)</f>
        <v>"Aufteilung der Workload in Stunden"</v>
      </c>
      <c r="N167" s="22"/>
      <c r="O167" s="22"/>
      <c r="P167" s="52"/>
    </row>
    <row r="168" spans="1:16" ht="15" customHeight="1">
      <c r="A168" s="77" t="s">
        <v>74</v>
      </c>
      <c r="B168" s="78"/>
      <c r="C168" s="79"/>
      <c r="D168" s="79"/>
      <c r="E168" s="80"/>
      <c r="F168" s="80"/>
      <c r="G168" s="80"/>
      <c r="H168" s="80"/>
      <c r="I168" s="24"/>
      <c r="J168" s="80"/>
      <c r="K168" s="80"/>
      <c r="L168" s="80"/>
      <c r="M168" s="81" t="e">
        <f>M$3</f>
        <v>#N/A</v>
      </c>
      <c r="N168" s="81" t="str">
        <f>""</f>
        <v/>
      </c>
      <c r="O168" s="78" t="e">
        <f>_xlfn.CONCAT(A168,"module:WL1_",M168," , ","module:WL2_",M168," .")</f>
        <v>#N/A</v>
      </c>
      <c r="P168" s="82"/>
    </row>
    <row r="169" spans="1:16" ht="15" customHeight="1">
      <c r="A169" s="21"/>
      <c r="B169" s="22"/>
      <c r="C169" s="23"/>
      <c r="D169" s="23"/>
      <c r="E169" s="24"/>
      <c r="F169" s="24"/>
      <c r="G169" s="24"/>
      <c r="H169" s="24"/>
      <c r="I169" s="130"/>
      <c r="J169" s="24"/>
      <c r="K169" s="24"/>
      <c r="L169" s="24"/>
      <c r="M169" s="61"/>
      <c r="N169" s="61" t="str">
        <f>""</f>
        <v/>
      </c>
      <c r="O169" s="61" t="str">
        <f>""</f>
        <v/>
      </c>
    </row>
    <row r="170" spans="1:16" ht="15" customHeight="1">
      <c r="A170" s="75" t="s">
        <v>210</v>
      </c>
      <c r="B170" s="33"/>
      <c r="C170" s="34"/>
      <c r="D170" s="34"/>
      <c r="E170" s="35"/>
      <c r="F170" s="35"/>
      <c r="G170" s="35"/>
      <c r="H170" s="35"/>
      <c r="I170" s="24"/>
      <c r="J170" s="35"/>
      <c r="K170" s="35"/>
      <c r="L170" s="35"/>
      <c r="M170" s="33" t="e">
        <f>M$3</f>
        <v>#N/A</v>
      </c>
      <c r="N170" s="33" t="e">
        <f>_xlfn.CONCAT(A170,M170," a ","schema:PropertyValue ;")</f>
        <v>#N/A</v>
      </c>
      <c r="O170" s="33" t="str">
        <f>""</f>
        <v/>
      </c>
      <c r="P170" s="76"/>
    </row>
    <row r="171" spans="1:16" ht="62">
      <c r="A171" s="21" t="s">
        <v>22</v>
      </c>
      <c r="B171" s="22" t="e">
        <f>IF(ISNA(VLOOKUP(C171,Original!A:B,2,0)),(VLOOKUP(L171,Original!A:B,2,0)),VLOOKUP(C171,Original!A:B,2,0))</f>
        <v>#N/A</v>
      </c>
      <c r="C171" s="23" t="s">
        <v>216</v>
      </c>
      <c r="D171" s="23" t="e">
        <f>TRIM(SUBSTITUTE(IF(ISERROR(MID(B171,FIND("=",B171)+1,55)),MID(B171,FIND("-",B171),55),MID(B171,FIND("=",B171)+1,55)),"und","+"))</f>
        <v>#N/A</v>
      </c>
      <c r="E171" s="24" t="str">
        <f>TRIM(IF(ISERROR(FIND("+",D171)),"",MID(D171,FIND("+",D171)+1,55)))</f>
        <v/>
      </c>
      <c r="F171" s="23" t="e">
        <f>TRIM(SUBSTITUTE(LEFT(D171,LEN(D171)-LEN(E171)),"+",""))</f>
        <v>#N/A</v>
      </c>
      <c r="G171" s="24" t="str" cm="1">
        <f t="array" ref="G171">MID(E171,MAX((MID(E171,COLUMN(1:1), 1)=" ")*COLUMN(1:1))+1,999)</f>
        <v/>
      </c>
      <c r="H171" s="24" t="e" cm="1">
        <f t="array" ref="H171">MID(F171,MAX((MID(F171,COLUMN(1:1), 1)=" ")*COLUMN(1:1))+1,999)</f>
        <v>#N/A</v>
      </c>
      <c r="I171" s="24" t="e">
        <f>SUM(D173:H174)</f>
        <v>#N/A</v>
      </c>
      <c r="J171" s="24"/>
      <c r="K171" s="24"/>
      <c r="L171" s="23" t="s">
        <v>222</v>
      </c>
      <c r="M171" s="22" t="e">
        <f>_xlfn.CONCAT(B$1,IF(G171="",MID(_xlfn.CONCAT(B173,D173:H174),1,LEN(_xlfn.CONCAT(B173,D173:H174))-SUM(B173,D173:H174)),IF(ISERROR(H172),B171,G171)),B$1)</f>
        <v>#N/A</v>
      </c>
      <c r="N171" s="22" t="str">
        <f>""</f>
        <v/>
      </c>
      <c r="O171" s="22" t="e">
        <f>_xlfn.CONCAT(A171,M171," ;")</f>
        <v>#N/A</v>
      </c>
      <c r="P171" s="52"/>
    </row>
    <row r="172" spans="1:16" ht="15" customHeight="1">
      <c r="A172" s="21" t="s">
        <v>87</v>
      </c>
      <c r="B172" s="22" t="e">
        <f>IF(ISNA(VLOOKUP(C172,Original!A:B,2,0)),(VLOOKUP(L172,Original!A:B,2,0)),VLOOKUP(C172,Original!A:B,2,0))</f>
        <v>#N/A</v>
      </c>
      <c r="C172" s="23" t="s">
        <v>216</v>
      </c>
      <c r="D172" s="23" t="e">
        <f>TRIM(SUBSTITUTE(IF(ISERROR(MID(B172,FIND("=",B172)+1,55)),MID(B172,FIND("-",B172),55),MID(B172,FIND("=",B172)+1,55)),"und","+"))</f>
        <v>#N/A</v>
      </c>
      <c r="E172" s="24" t="str">
        <f>TRIM(IF(ISERROR(FIND("+",D172)),"",MID(D172,FIND("+",D172)+1,55)))</f>
        <v/>
      </c>
      <c r="F172" s="23" t="e">
        <f>TRIM(SUBSTITUTE(LEFT(D172,LEN(D172)-LEN(E172)),"+",""))</f>
        <v>#N/A</v>
      </c>
      <c r="G172" s="23" t="e" cm="1">
        <f t="array" ref="G172">1*MID(E172,MATCH(TRUE,ISNUMBER(1*MID(E172,ROW($1:$113),1)),0),COUNT(1*MID(E172,ROW($1:$113),1)))</f>
        <v>#N/A</v>
      </c>
      <c r="H172" s="23" t="e" cm="1">
        <f t="array" ref="H172">1*MID(F172,MATCH(TRUE,ISNUMBER(1*MID(F172,ROW($1:$113),1)),0),COUNT(1*MID(F172,ROW($1:$113),1)))</f>
        <v>#N/A</v>
      </c>
      <c r="I172" s="24"/>
      <c r="J172" s="24"/>
      <c r="K172" s="24"/>
      <c r="L172" s="24" t="s">
        <v>222</v>
      </c>
      <c r="M172" s="22" t="e">
        <f>_xlfn.CONCAT(B$1,IF(ISNA(G172),MID(_xlfn.CONCAT(B173,D173:H174),1,LEN(_xlfn.CONCAT(B173,D173:H174))-SUM(B173,D173:H174)),IF(ISERROR(H172),B171,G172)),B$1)</f>
        <v>#N/A</v>
      </c>
      <c r="N172" s="22" t="str">
        <f>""</f>
        <v/>
      </c>
      <c r="O172" s="22" t="e">
        <f>_xlfn.CONCAT(A172,M172,"^^xsd:integer .")</f>
        <v>#N/A</v>
      </c>
      <c r="P172" s="52"/>
    </row>
    <row r="173" spans="1:16" ht="15" customHeight="1">
      <c r="A173" s="21"/>
      <c r="B173" s="22" t="e">
        <f>IF(ISNA(VLOOKUP(C173,Original!A:B,2,0)),(VLOOKUP(L173,Original!A:B,2,0)),VLOOKUP(C173,Original!A:B,2,0))</f>
        <v>#N/A</v>
      </c>
      <c r="C173" s="23" t="s">
        <v>216</v>
      </c>
      <c r="D173" s="129" t="e" cm="1">
        <f t="array" ref="D173">IF(INDEX(Original!$B:$B,MATCH(B173,Original!$B:$B,0)+1)=0,"xxUMBRUCHxx",IF(EXACT(INDEX(Original!$B:$B,MATCH(B173,Original!$B:$B,0)+1),I173),1,INDEX(Original!$B:$B,MATCH(B173,Original!$B:$B,0)+1)))</f>
        <v>#N/A</v>
      </c>
      <c r="E173" s="24" t="e" cm="1">
        <f t="array" ref="E173">IF(INDEX(Original!$B:$B,MATCH($B$173,Original!$B:$B,0)+2)=0," ; ",IF(EXACT(INDEX(Original!$B:$B,MATCH($B$173,Original!$B:$B,0)+2),$I$173),1,IF(D173=1,1,INDEX(Original!$B:$B,MATCH($B$173,Original!$B:$B,0)+2))))</f>
        <v>#N/A</v>
      </c>
      <c r="F173" s="24" t="e" cm="1">
        <f t="array" ref="F173">IF(INDEX(Original!$B:$B,MATCH($B$173,Original!$B:$B,0)+3)=0," ; ",IF(EXACT(INDEX(Original!$B:$B,MATCH($B$173,Original!$B:$B,0)+3),$I$173),1,IF(E173=1,1,INDEX(Original!$B:$B,MATCH($B$173,Original!$B:$B,0)+3))))</f>
        <v>#N/A</v>
      </c>
      <c r="G173" s="24" t="e" cm="1">
        <f t="array" ref="G173">IF(INDEX(Original!$B:$B,MATCH($B$173,Original!$B:$B,0)+4)=0," ; ",IF(EXACT(INDEX(Original!$B:$B,MATCH($B$173,Original!$B:$B,0)+4),$I$173),1,IF(F173=1,1,INDEX(Original!$B:$B,MATCH($B$173,Original!$B:$B,0)+4))))</f>
        <v>#N/A</v>
      </c>
      <c r="H173" s="24" t="e" cm="1">
        <f t="array" ref="H173">IF(INDEX(Original!$B:$B,MATCH($B$173,Original!$B:$B,0)+5)=0," ; ",IF(EXACT(INDEX(Original!$B:$B,MATCH($B$173,Original!$B:$B,0)+5),$I$173),1,IF(G173=1,1,INDEX(Original!$B:$B,MATCH($B$173,Original!$B:$B,0)+5))))</f>
        <v>#N/A</v>
      </c>
      <c r="I173" s="23" t="e">
        <f>VLOOKUP(J173,Original!$A:$B,2,0)</f>
        <v>#N/A</v>
      </c>
      <c r="J173" s="89" t="s">
        <v>11</v>
      </c>
      <c r="K173" s="24"/>
      <c r="L173" s="23" t="s">
        <v>222</v>
      </c>
      <c r="M173" s="22"/>
      <c r="N173" s="22"/>
      <c r="O173" s="22"/>
      <c r="P173" s="52"/>
    </row>
    <row r="174" spans="1:16" ht="15" customHeight="1">
      <c r="A174" s="21"/>
      <c r="B174" s="22"/>
      <c r="C174" s="23"/>
      <c r="D174" s="24" t="e" cm="1">
        <f t="array" ref="D174">IF(INDEX(Original!$B:$B,MATCH($B$173,Original!$B:$B,0)+6)=0," ; ",IF(EXACT(INDEX(Original!$B:$B,MATCH($B$173,Original!$B:$B,0)+6),$I$173),1,IF(H173=1,1,INDEX(Original!$B:$B,MATCH($B$173,Original!$B:$B,0)+6))))</f>
        <v>#N/A</v>
      </c>
      <c r="E174" s="24" t="e" cm="1">
        <f t="array" ref="E174">IF(INDEX(Original!$B:$B,MATCH($B$173,Original!$B:$B,0)+7)=0," ; ",IF(EXACT(INDEX(Original!$B:$B,MATCH($B$173,Original!$B:$B,0)+7),$I$173),1,IF(D174=1,1,INDEX(Original!$B:$B,MATCH($B$173,Original!$B:$B,0)+7))))</f>
        <v>#N/A</v>
      </c>
      <c r="F174" s="24" t="e" cm="1">
        <f t="array" ref="F174">IF(INDEX(Original!$B:$B,MATCH($B$173,Original!$B:$B,0)+8)=0," ; ",IF(EXACT(INDEX(Original!$B:$B,MATCH($B$173,Original!$B:$B,0)+8),$I$173),1,IF(E174=1,1,INDEX(Original!$B:$B,MATCH($B$173,Original!$B:$B,0)+8))))</f>
        <v>#N/A</v>
      </c>
      <c r="G174" s="24" t="e" cm="1">
        <f t="array" ref="G174">IF(INDEX(Original!$B:$B,MATCH($B$173,Original!$B:$B,0)+9)=0," ; ",IF(EXACT(INDEX(Original!$B:$B,MATCH($B$173,Original!$B:$B,0)+9),$I$173),1,IF(F174=1,1,INDEX(Original!$B:$B,MATCH($B$173,Original!$B:$B,0)+9))))</f>
        <v>#N/A</v>
      </c>
      <c r="H174" s="24" t="e" cm="1">
        <f t="array" ref="H174">IF(INDEX(Original!$B:$B,MATCH($B$173,Original!$B:$B,0)+10)=0," ; ",IF(EXACT(INDEX(Original!$B:$B,MATCH($B$173,Original!$B:$B,0)+10),$I$173),1,IF(G174=1,1,INDEX(Original!$B:$B,MATCH($B$173,Original!$B:$B,0)+10))))</f>
        <v>#N/A</v>
      </c>
      <c r="I174" s="87"/>
      <c r="J174" s="131"/>
      <c r="K174" s="24"/>
      <c r="L174" s="24"/>
      <c r="M174" s="22"/>
      <c r="N174" s="22"/>
      <c r="O174" s="22"/>
    </row>
    <row r="175" spans="1:16" ht="15" customHeight="1">
      <c r="A175" s="21"/>
      <c r="B175" s="22"/>
      <c r="C175" s="23"/>
      <c r="D175" s="23"/>
      <c r="E175" s="24"/>
      <c r="F175" s="24"/>
      <c r="G175" s="130"/>
      <c r="H175" s="130"/>
      <c r="I175" s="130"/>
      <c r="J175" s="24"/>
      <c r="K175" s="24"/>
      <c r="L175" s="24"/>
      <c r="M175" s="61"/>
      <c r="N175" s="61" t="str">
        <f>""</f>
        <v/>
      </c>
      <c r="O175" s="61" t="str">
        <f>""</f>
        <v/>
      </c>
    </row>
    <row r="176" spans="1:16" ht="15" customHeight="1">
      <c r="A176" s="75" t="s">
        <v>211</v>
      </c>
      <c r="B176" s="33" t="e">
        <f>TRIM(VLOOKUP(C176,Original!A:B,2,0))</f>
        <v>#N/A</v>
      </c>
      <c r="C176" s="34" t="s">
        <v>0</v>
      </c>
      <c r="D176" s="34"/>
      <c r="E176" s="35"/>
      <c r="F176" s="35"/>
      <c r="G176" s="35"/>
      <c r="H176" s="35"/>
      <c r="I176" s="24"/>
      <c r="J176" s="35"/>
      <c r="K176" s="35"/>
      <c r="L176" s="35"/>
      <c r="M176" s="33" t="e">
        <f>M$3</f>
        <v>#N/A</v>
      </c>
      <c r="N176" s="33" t="e">
        <f>_xlfn.CONCAT(A176,M176," a ","schema:PropertyValue ;")</f>
        <v>#N/A</v>
      </c>
      <c r="O176" s="33" t="str">
        <f>""</f>
        <v/>
      </c>
      <c r="P176" s="76"/>
    </row>
    <row r="177" spans="1:16" ht="15" customHeight="1">
      <c r="A177" s="21" t="s">
        <v>22</v>
      </c>
      <c r="B177" s="22" t="e">
        <f>IF(ISNA(VLOOKUP(C177,Original!A:B,2,0)),(VLOOKUP(L177,Original!A:B,2,0)),VLOOKUP(C177,Original!A:B,2,0))</f>
        <v>#N/A</v>
      </c>
      <c r="C177" s="23" t="s">
        <v>216</v>
      </c>
      <c r="D177" s="23" t="e">
        <f>TRIM(SUBSTITUTE(IF(ISERROR(MID(B177,FIND("=",B177)+1,55)),MID(B177,FIND("-",B177),55),MID(B177,FIND("=",B177)+1,55)),"und","+"))</f>
        <v>#N/A</v>
      </c>
      <c r="E177" s="24" t="str">
        <f>TRIM(IF(ISERROR(FIND("+",D177)),"",MID(D177,FIND("+",D177)+1,55)))</f>
        <v/>
      </c>
      <c r="F177" s="23" t="e">
        <f>TRIM(SUBSTITUTE(LEFT(D177,LEN(D177)-LEN(E177)),"+",""))</f>
        <v>#N/A</v>
      </c>
      <c r="G177" s="24" t="str" cm="1">
        <f t="array" ref="G177">MID(E177,MAX((MID(E177,COLUMN(5:5), 1)=" ")*COLUMN(5:5))+1,999)</f>
        <v/>
      </c>
      <c r="H177" s="24" t="e" cm="1">
        <f t="array" ref="H177">MID(F177,MAX((MID(F177,COLUMN(1:1), 1)=" ")*COLUMN(1:1))+1,999)</f>
        <v>#N/A</v>
      </c>
      <c r="I177" s="24"/>
      <c r="J177" s="24"/>
      <c r="K177" s="24"/>
      <c r="L177" s="23" t="s">
        <v>222</v>
      </c>
      <c r="M177" s="22" t="e">
        <f>SUBSTITUTE(_xlfn.CONCAT(B$1,IF(G177="",MID(_xlfn.CONCAT(B173,D173:H174),1,LEN(_xlfn.CONCAT(B173,D173:H174))-SUM(B173,D173:H174)),IF(ISERROR(H172),B171,H177)),B$1),"Präsenz-","Präsenz")</f>
        <v>#N/A</v>
      </c>
      <c r="N177" s="61" t="str">
        <f>""</f>
        <v/>
      </c>
      <c r="O177" s="22" t="e">
        <f>_xlfn.CONCAT(A177,M177," ;")</f>
        <v>#N/A</v>
      </c>
    </row>
    <row r="178" spans="1:16" ht="15" customHeight="1">
      <c r="A178" s="27" t="s">
        <v>87</v>
      </c>
      <c r="B178" s="28" t="e">
        <f>IF(ISNA(VLOOKUP(C178,Original!A:B,2,0)),(VLOOKUP(L178,Original!A:B,2,0)),VLOOKUP(C178,Original!A:B,2,0))</f>
        <v>#N/A</v>
      </c>
      <c r="C178" s="54" t="s">
        <v>216</v>
      </c>
      <c r="D178" s="54" t="e">
        <f>TRIM(SUBSTITUTE(IF(ISERROR(MID(B178,FIND("=",B178)+1,55)),MID(B178,FIND("-",B178),55),MID(B178,FIND("=",B178)+1,55)),"und","+"))</f>
        <v>#N/A</v>
      </c>
      <c r="E178" s="29" t="str">
        <f>TRIM(IF(ISERROR(FIND("+",D178)),"",MID(D178,FIND("+",D178)+1,55)))</f>
        <v/>
      </c>
      <c r="F178" s="54" t="e">
        <f>TRIM(SUBSTITUTE(LEFT(D178,LEN(D178)-LEN(E178)),"+",""))</f>
        <v>#N/A</v>
      </c>
      <c r="G178" s="54" t="e" cm="1">
        <f t="array" ref="G178">1*MID(E178,MATCH(TRUE,ISNUMBER(1*MID(E178,ROW($1:$113),1)),0),COUNT(1*MID(E178,ROW($1:$113),1)))</f>
        <v>#N/A</v>
      </c>
      <c r="H178" s="54" t="e" cm="1">
        <f t="array" ref="H178">1*MID(F178,MATCH(TRUE,ISNUMBER(1*MID(F178,ROW($1:$113),1)),0),COUNT(1*MID(F178,ROW($1:$113),1)))</f>
        <v>#N/A</v>
      </c>
      <c r="I178" s="29"/>
      <c r="J178" s="29"/>
      <c r="K178" s="29"/>
      <c r="L178" s="54" t="s">
        <v>222</v>
      </c>
      <c r="M178" s="28" t="e">
        <f>_xlfn.CONCAT(B$1,IF(ISNA(G178),MID(_xlfn.CONCAT(B173,D173:H174),1,LEN(_xlfn.CONCAT(B173,D173:H174))-SUM(B173,D173:H174)),IF(ISERROR(H172),B171,H178)),B$1)</f>
        <v>#N/A</v>
      </c>
      <c r="N178" s="62" t="str">
        <f>""</f>
        <v/>
      </c>
      <c r="O178" s="28" t="e">
        <f>_xlfn.CONCAT(A178,M178,"^^xsd:integer .")</f>
        <v>#N/A</v>
      </c>
      <c r="P178" s="32"/>
    </row>
    <row r="180" spans="1:16" ht="31">
      <c r="A180" s="68" t="s">
        <v>98</v>
      </c>
      <c r="B180" s="19"/>
      <c r="C180" s="20"/>
      <c r="D180" s="201"/>
      <c r="E180" s="201"/>
      <c r="F180" s="201"/>
      <c r="G180" s="201"/>
      <c r="H180" s="201"/>
      <c r="I180" s="201"/>
      <c r="J180" s="201"/>
      <c r="K180" s="97"/>
      <c r="L180" s="97"/>
      <c r="M180" s="19"/>
      <c r="N180" s="19"/>
      <c r="O180" s="19"/>
      <c r="P180" s="88"/>
    </row>
    <row r="181" spans="1:16">
      <c r="A181" s="21"/>
      <c r="B181" s="22"/>
      <c r="C181" s="23"/>
      <c r="D181" s="23"/>
      <c r="E181" s="24"/>
      <c r="F181" s="24"/>
      <c r="G181" s="24"/>
      <c r="H181" s="24"/>
      <c r="I181" s="24"/>
      <c r="J181" s="24"/>
      <c r="K181" s="24"/>
      <c r="L181" s="24"/>
      <c r="M181" s="22"/>
      <c r="N181" s="22"/>
      <c r="O181" s="22"/>
      <c r="P181" s="52"/>
    </row>
    <row r="182" spans="1:16">
      <c r="A182" s="75" t="s">
        <v>231</v>
      </c>
      <c r="B182" s="33"/>
      <c r="C182" s="34"/>
      <c r="D182" s="34"/>
      <c r="E182" s="35"/>
      <c r="F182" s="35"/>
      <c r="G182" s="35"/>
      <c r="H182" s="35"/>
      <c r="I182" s="35"/>
      <c r="J182" s="35"/>
      <c r="K182" s="35"/>
      <c r="L182" s="35"/>
      <c r="M182" s="33" t="e">
        <f>M$3</f>
        <v>#N/A</v>
      </c>
      <c r="N182" s="33" t="e">
        <f>_xlfn.CONCAT(A182,M182," a ","schema:ItemList ;")</f>
        <v>#N/A</v>
      </c>
      <c r="O182" s="33" t="str">
        <f>""</f>
        <v/>
      </c>
      <c r="P182" s="198" t="s">
        <v>104</v>
      </c>
    </row>
    <row r="183" spans="1:16">
      <c r="A183" s="21" t="s">
        <v>99</v>
      </c>
      <c r="B183" s="22"/>
      <c r="C183" s="23"/>
      <c r="D183" s="23"/>
      <c r="E183" s="24"/>
      <c r="F183" s="24"/>
      <c r="G183" s="24"/>
      <c r="H183" s="24"/>
      <c r="I183" s="24"/>
      <c r="J183" s="24"/>
      <c r="K183" s="24"/>
      <c r="L183" s="24"/>
      <c r="M183" s="22" t="str">
        <f>_xlfn.CONCAT(B$1,"Results",B$1)</f>
        <v>"Results"</v>
      </c>
      <c r="N183" s="22" t="str">
        <f>""</f>
        <v/>
      </c>
      <c r="O183" s="22" t="str">
        <f>_xlfn.CONCAT(A183,M183," ;")</f>
        <v>schema:identifier "Results" ;</v>
      </c>
      <c r="P183" s="199"/>
    </row>
    <row r="184" spans="1:16">
      <c r="A184" s="21" t="s">
        <v>22</v>
      </c>
      <c r="B184" s="22"/>
      <c r="C184" s="23"/>
      <c r="D184" s="23"/>
      <c r="E184" s="24"/>
      <c r="F184" s="24"/>
      <c r="G184" s="24"/>
      <c r="H184" s="24"/>
      <c r="I184" s="24"/>
      <c r="J184" s="24"/>
      <c r="K184" s="24"/>
      <c r="L184" s="24"/>
      <c r="M184" s="22" t="e">
        <f>_xlfn.CONCAT(B$1,"Lernergebnisse ",M182,B$1)</f>
        <v>#N/A</v>
      </c>
      <c r="N184" s="22" t="str">
        <f>""</f>
        <v/>
      </c>
      <c r="O184" s="22" t="e">
        <f>_xlfn.CONCAT(A184,M184," ;")</f>
        <v>#N/A</v>
      </c>
      <c r="P184" s="199"/>
    </row>
    <row r="185" spans="1:16" ht="15" customHeight="1">
      <c r="A185" s="22" t="s">
        <v>100</v>
      </c>
      <c r="B185" s="22" t="e">
        <f>VLOOKUP(C185,Original!A:B,2,0)</f>
        <v>#N/A</v>
      </c>
      <c r="C185" s="23" t="s">
        <v>14</v>
      </c>
      <c r="D185" s="129" t="e" cm="1">
        <f t="array" ref="D185">IF(INDEX(Original!$B:$B,MATCH($C185,Original!$A:$A,0)+1)=0," ; ",IF(EXACT(INDEX(Original!$B:$B,MATCH($C185,Original!$A:$A,0)+1),I185),1,INDEX(Original!$B:$B,MATCH($C185,Original!$A:$A,0)+1)))</f>
        <v>#N/A</v>
      </c>
      <c r="E185" s="24" t="e" cm="1">
        <f t="array" ref="E185">IF(EXACT(INDEX(Original!$B:$B,MATCH($C185,Original!$A:$A,0)+2),$I$185),1,IF(D185=1,1,IF(INDEX(Original!$B:$B,MATCH($C185,Original!$A:$A,0)+2)=0," ; ",INDEX(Original!$B:$B,MATCH($C185,Original!$A:$A,0)+2))))</f>
        <v>#N/A</v>
      </c>
      <c r="F185" s="24" t="e" cm="1">
        <f t="array" ref="F185">IF(EXACT(INDEX(Original!$B:$B,MATCH($C185,Original!$A:$A,0)+3),$I$185),1,IF(E185=1,1,IF(INDEX(Original!$B:$B,MATCH($C185,Original!$A:$A,0)+3)=0," ; ",INDEX(Original!$B:$B,MATCH($C185,Original!$A:$A,0)+3))))</f>
        <v>#N/A</v>
      </c>
      <c r="G185" s="24" t="e" cm="1">
        <f t="array" ref="G185">IF(EXACT(INDEX(Original!$B:$B,MATCH($C185,Original!$A:$A,0)+4),$I$195),1,IF(F185=1,1,IF(INDEX(Original!$B:$B,MATCH($C185,Original!$A:$A,0)+4)=0," ; ",INDEX(Original!$B:$B,MATCH($C185,Original!$A:$A,0)+4))))</f>
        <v>#N/A</v>
      </c>
      <c r="H185" s="24" t="e" cm="1">
        <f t="array" ref="H185">IF(EXACT(INDEX(Original!$B:$B,MATCH($C185,Original!$A:$A,0)+5),$I$185),1,IF(G185=1,1,IF(INDEX(Original!$B:$B,MATCH($C185,Original!$A:$A,0)+5)=0," ; ",INDEX(Original!$B:$B,MATCH($C185,Original!$A:$A,0)+5))))</f>
        <v>#N/A</v>
      </c>
      <c r="I185" s="23" t="e">
        <f>VLOOKUP(J185,Original!$A:$B,2,0)</f>
        <v>#N/A</v>
      </c>
      <c r="J185" s="24" t="s">
        <v>15</v>
      </c>
      <c r="K185" s="23" t="str" cm="1">
        <f t="array" ref="K185">IF(ISNA(D185),"",TRIM(SUBSTITUTE(SUBSTITUTE(SUBSTITUTE(SUBSTITUTE(LEFT(_xlfn.CONCAT(B185," ; ",D185," ; ",E185," ; ",F185," ; ",G185," ; ",H185," ; ",D186," ; ",E186," ; ",F186," ; ",G186," ; ",H186," ; ",D187," ; ",E187," ; ",F187," ; ",G187," ; ",H187," ; ",D188," ; ",E188," ; ",F188," ; ",G188," ; ",H188," ; ",D189," ; ",E189," ; ",F189," ; ",G189," ; ",H189," ; ",D190," ; ",E190," ; ",F190," ; ",G190," ; ",H190),SUM(LEN(B185),LEN(D185:H190))+90-SUM(D185:H190)-PRODUCT(SUM(D185:H190),3)),"","-&gt;"),"·      ",";"),"Keine","",1),"""","'")))</f>
        <v/>
      </c>
      <c r="L185" s="24"/>
      <c r="M185" s="22" t="str">
        <f>_xlfn.CONCAT(B$1,K185,B$1)</f>
        <v>""</v>
      </c>
      <c r="N185" s="22" t="str">
        <f>""</f>
        <v/>
      </c>
      <c r="O185" s="22" t="str">
        <f>_xlfn.CONCAT(A185,M185," .")</f>
        <v>schema:itemListElement "" .</v>
      </c>
      <c r="P185" s="199"/>
    </row>
    <row r="186" spans="1:16" ht="15" customHeight="1">
      <c r="A186" s="22"/>
      <c r="B186" s="22"/>
      <c r="C186" s="23"/>
      <c r="D186" s="24" t="e" cm="1">
        <f t="array" ref="D186">IF(EXACT(INDEX(Original!$B:$B,MATCH($C185,Original!$A:$A,0)+6),$I$185),1,IF(H185=1,1,IF(INDEX(Original!$B:$B,MATCH($C185,Original!$A:$A,0)+6)=0," ; ",INDEX(Original!$B:$B,MATCH($C185,Original!$A:$A,0)+6))))</f>
        <v>#N/A</v>
      </c>
      <c r="E186" s="24" t="e" cm="1">
        <f t="array" ref="E186">IF(EXACT(INDEX(Original!$B:$B,MATCH($C185,Original!$A:$A,0)+7),$I$185),1,IF(D186=1,1,IF(INDEX(Original!$B:$B,MATCH($C185,Original!$A:$A,0)+7)=0," ; ",INDEX(Original!$B:$B,MATCH($C185,Original!$A:$A,0)+7))))</f>
        <v>#N/A</v>
      </c>
      <c r="F186" s="24" t="e" cm="1">
        <f t="array" ref="F186">IF(EXACT(INDEX(Original!$B:$B,MATCH($C185,Original!$A:$A,0)+8),$I$185),1,IF(E186=1,1,IF(INDEX(Original!$B:$B,MATCH($C185,Original!$A:$A,0)+8)=0," ; ",INDEX(Original!$B:$B,MATCH($C185,Original!$A:$A,0)+8))))</f>
        <v>#N/A</v>
      </c>
      <c r="G186" s="24" t="e" cm="1">
        <f t="array" ref="G186">IF(EXACT(INDEX(Original!$B:$B,MATCH($C185,Original!$A:$A,0)+9),$I$185),1,IF(F186=1,1,IF(INDEX(Original!$B:$B,MATCH($C185,Original!$A:$A,0)+9)=0," ; ",INDEX(Original!$B:$B,MATCH($C185,Original!$A:$A,0)+9))))</f>
        <v>#N/A</v>
      </c>
      <c r="H186" s="24" t="e" cm="1">
        <f t="array" ref="H186">IF(EXACT(INDEX(Original!$B:$B,MATCH($C185,Original!$A:$A,0)+10),$I$185),1,IF(G186=1,1,IF(INDEX(Original!$B:$B,MATCH($C185,Original!$A:$A,0)+10)=0," ; ",INDEX(Original!$B:$B,MATCH($C185,Original!$A:$A,0)+10))))</f>
        <v>#N/A</v>
      </c>
      <c r="I186" s="23"/>
      <c r="J186" s="24"/>
      <c r="K186" s="24"/>
      <c r="L186" s="24"/>
      <c r="M186" s="22"/>
      <c r="N186" s="22"/>
      <c r="O186" s="22"/>
      <c r="P186" s="199"/>
    </row>
    <row r="187" spans="1:16" ht="15" customHeight="1">
      <c r="A187" s="22"/>
      <c r="B187" s="22"/>
      <c r="C187" s="23"/>
      <c r="D187" s="24" t="e" cm="1">
        <f t="array" ref="D187">IF(EXACT(INDEX(Original!$B:$B,MATCH($C185,Original!$A:$A,0)+11),$I$185),1,IF(H186=1,1,IF(INDEX(Original!$B:$B,MATCH($C185,Original!$A:$A,0)+11)=0," ; ",INDEX(Original!$B:$B,MATCH($C185,Original!$A:$A,0)+11))))</f>
        <v>#N/A</v>
      </c>
      <c r="E187" s="24" t="e" cm="1">
        <f t="array" ref="E187">IF(EXACT(INDEX(Original!$B:$B,MATCH($C185,Original!$A:$A,0)+12),$I$185),1,IF(D187=1,1,IF(INDEX(Original!$B:$B,MATCH($C185,Original!$A:$A,0)+12)=0," ; ",INDEX(Original!$B:$B,MATCH($C185,Original!$A:$A,0)+12))))</f>
        <v>#N/A</v>
      </c>
      <c r="F187" s="24" t="e" cm="1">
        <f t="array" ref="F187">IF(EXACT(INDEX(Original!$B:$B,MATCH($C185,Original!$A:$A,0)+13),$I$185),1,IF(E187=1,1,IF(INDEX(Original!$B:$B,MATCH($C185,Original!$A:$A,0)+13)=0," ; ",INDEX(Original!$B:$B,MATCH($C185,Original!$A:$A,0)+13))))</f>
        <v>#N/A</v>
      </c>
      <c r="G187" s="24" t="e" cm="1">
        <f t="array" ref="G187">IF(EXACT(INDEX(Original!$B:$B,MATCH($C185,Original!$A:$A,0)+14),$I$185),1,IF(F187=1,1,IF(INDEX(Original!$B:$B,MATCH($C185,Original!$A:$A,0)+14)=0," ; ",INDEX(Original!$B:$B,MATCH($C185,Original!$A:$A,0)+14))))</f>
        <v>#N/A</v>
      </c>
      <c r="H187" s="24" t="e" cm="1">
        <f t="array" ref="H187">IF(EXACT(INDEX(Original!$B:$B,MATCH($C185,Original!$A:$A,0)+15),$I$185),1,IF(G187=1,1,IF(INDEX(Original!$B:$B,MATCH($C185,Original!$A:$A,0)+15)=0," ; ",INDEX(Original!$B:$B,MATCH($C185,Original!$A:$A,0)+15))))</f>
        <v>#N/A</v>
      </c>
      <c r="I187" s="23"/>
      <c r="J187" s="24"/>
      <c r="K187" s="24"/>
      <c r="L187" s="24"/>
      <c r="M187" s="22"/>
      <c r="N187" s="22"/>
      <c r="O187" s="22"/>
      <c r="P187" s="199"/>
    </row>
    <row r="188" spans="1:16" ht="15" customHeight="1">
      <c r="A188" s="21"/>
      <c r="B188" s="22"/>
      <c r="C188" s="23"/>
      <c r="D188" s="24" t="e" cm="1">
        <f t="array" ref="D188">IF(EXACT(INDEX(Original!$B:$B,MATCH($C$185,Original!$A:$A,0)+16),$I$185),1,IF(H187=1,1,IF(INDEX(Original!$B:$B,MATCH($C$185,Original!$A:$A,0)+16)=0," ; ",INDEX(Original!$B:$B,MATCH($C$185,Original!$A:$A,0)+16))))</f>
        <v>#N/A</v>
      </c>
      <c r="E188" s="24" t="e" cm="1">
        <f t="array" ref="E188">IF(EXACT(INDEX(Original!$B:$B,MATCH($C$185,Original!$A:$A,0)+17),$I$185),1,IF(D188=1,1,IF(INDEX(Original!$B:$B,MATCH($C$185,Original!$A:$A,0)+17)=0," ; ",INDEX(Original!$B:$B,MATCH($C$185,Original!$A:$A,0)+17))))</f>
        <v>#N/A</v>
      </c>
      <c r="F188" s="24" t="e" cm="1">
        <f t="array" ref="F188">IF(EXACT(INDEX(Original!$B:$B,MATCH($C$185,Original!$A:$A,0)+18),$I$185),1,IF(E188=1,1,IF(INDEX(Original!$B:$B,MATCH($C$185,Original!$A:$A,0)+18)=0," ; ",INDEX(Original!$B:$B,MATCH($C$185,Original!$A:$A,0)+18))))</f>
        <v>#N/A</v>
      </c>
      <c r="G188" s="24" t="e" cm="1">
        <f t="array" ref="G188">IF(EXACT(INDEX(Original!$B:$B,MATCH($C$185,Original!$A:$A,0)+19),$I$185),1,IF(F188=1,1,IF(INDEX(Original!$B:$B,MATCH($C$185,Original!$A:$A,0)+19)=0," ; ",INDEX(Original!$B:$B,MATCH($C$185,Original!$A:$A,0)+19))))</f>
        <v>#N/A</v>
      </c>
      <c r="H188" s="24" t="e" cm="1">
        <f t="array" ref="H188">IF(EXACT(INDEX(Original!$B:$B,MATCH($C$185,Original!$A:$A,0)+20),$I$185),1,IF(G188=1,1,IF(INDEX(Original!$B:$B,MATCH($C$185,Original!$A:$A,0)+20)=0," ; ",INDEX(Original!$B:$B,MATCH($C$185,Original!$A:$A,0)+20))))</f>
        <v>#N/A</v>
      </c>
      <c r="I188" s="23"/>
      <c r="J188" s="24"/>
      <c r="K188" s="24"/>
      <c r="L188" s="24"/>
      <c r="M188" s="22"/>
      <c r="N188" s="22"/>
      <c r="O188" s="22"/>
      <c r="P188" s="199"/>
    </row>
    <row r="189" spans="1:16" ht="15" customHeight="1">
      <c r="A189" s="21"/>
      <c r="B189" s="22"/>
      <c r="C189" s="23"/>
      <c r="D189" s="24" t="e" cm="1">
        <f t="array" ref="D189">IF(EXACT(INDEX(Original!$B:$B,MATCH($C$185,Original!$A:$A,0)+21),$I$185),1,IF(H188=1,1,IF(INDEX(Original!$B:$B,MATCH($C$185,Original!$A:$A,0)+21)=0," ; ",INDEX(Original!$B:$B,MATCH($C$185,Original!$A:$A,0)+21))))</f>
        <v>#N/A</v>
      </c>
      <c r="E189" s="24" t="e" cm="1">
        <f t="array" ref="E189">IF(EXACT(INDEX(Original!$B:$B,MATCH($C$185,Original!$A:$A,0)+22),$I$185),1,IF(D189=1,1,IF(INDEX(Original!$B:$B,MATCH($C$185,Original!$A:$A,0)+22)=0," ; ",INDEX(Original!$B:$B,MATCH($C$185,Original!$A:$A,0)+22))))</f>
        <v>#N/A</v>
      </c>
      <c r="F189" s="24" t="e" cm="1">
        <f t="array" ref="F189">IF(EXACT(INDEX(Original!$B:$B,MATCH($C$185,Original!$A:$A,0)+23),$I$185),1,IF(E189=1,1,IF(INDEX(Original!$B:$B,MATCH($C$185,Original!$A:$A,0)+23)=0," ; ",INDEX(Original!$B:$B,MATCH($C$185,Original!$A:$A,0)+23))))</f>
        <v>#N/A</v>
      </c>
      <c r="G189" s="24" t="e" cm="1">
        <f t="array" ref="G189">IF(EXACT(INDEX(Original!$B:$B,MATCH($C$185,Original!$A:$A,0)+24),$I$185),1,IF(F189=1,1,IF(INDEX(Original!$B:$B,MATCH($C$185,Original!$A:$A,0)+24)=0," ; ",INDEX(Original!$B:$B,MATCH($C$185,Original!$A:$A,0)+24))))</f>
        <v>#N/A</v>
      </c>
      <c r="H189" s="24" t="e" cm="1">
        <f t="array" ref="H189">IF(EXACT(INDEX(Original!$B:$B,MATCH($C$185,Original!$A:$A,0)+25),$I$185),1,IF(G189=1,1,IF(INDEX(Original!$B:$B,MATCH($C$185,Original!$A:$A,0)+25)=0," ; ",INDEX(Original!$B:$B,MATCH($C$185,Original!$A:$A,0)+25))))</f>
        <v>#N/A</v>
      </c>
      <c r="I189" s="23"/>
      <c r="J189" s="24"/>
      <c r="K189" s="24"/>
      <c r="L189" s="24"/>
      <c r="M189" s="22"/>
      <c r="N189" s="22"/>
      <c r="O189" s="22"/>
      <c r="P189" s="199"/>
    </row>
    <row r="190" spans="1:16" ht="15" customHeight="1">
      <c r="A190" s="21"/>
      <c r="B190" s="22"/>
      <c r="C190" s="23"/>
      <c r="D190" s="79" t="e" cm="1">
        <f t="array" ref="D190">IF(EXACT(INDEX(Original!$B:$B,MATCH($C$185,Original!$A:$A,0)+26),$I$185),1,IF(H189=1,1,IF(INDEX(Original!$B:$B,MATCH($C$185,Original!$A:$A,0)+26)=0," ; ",INDEX(Original!$B:$B,MATCH($C$185,Original!$A:$A,0)+26))))</f>
        <v>#N/A</v>
      </c>
      <c r="E190" s="79" t="e" cm="1">
        <f t="array" ref="E190">IF(EXACT(INDEX(Original!$B:$B,MATCH($C$185,Original!$A:$A,0)+27),$I$185),1,IF(D190=1,1,IF(INDEX(Original!$B:$B,MATCH($C$185,Original!$A:$A,0)+27)=0," ; ",INDEX(Original!$B:$B,MATCH($C$185,Original!$A:$A,0)+27))))</f>
        <v>#N/A</v>
      </c>
      <c r="F190" s="79" t="e" cm="1">
        <f t="array" ref="F190">IF(EXACT(INDEX(Original!$B:$B,MATCH($C$185,Original!$A:$A,0)+28),$I$185),1,IF(E190=1,1,IF(INDEX(Original!$B:$B,MATCH($C$185,Original!$A:$A,0)+28)=0," ; ",INDEX(Original!$B:$B,MATCH($C$185,Original!$A:$A,0)+28))))</f>
        <v>#N/A</v>
      </c>
      <c r="G190" s="79" t="e" cm="1">
        <f t="array" ref="G190">IF(EXACT(INDEX(Original!$B:$B,MATCH($C$185,Original!$A:$A,0)+29),$I$185),1,IF(F190=1,1,IF(INDEX(Original!$B:$B,MATCH($C$185,Original!$A:$A,0)+29)=0," ; ",INDEX(Original!$B:$B,MATCH($C$185,Original!$A:$A,0)+29))))</f>
        <v>#N/A</v>
      </c>
      <c r="H190" s="79" t="e" cm="1">
        <f t="array" ref="H190">IF(EXACT(INDEX(Original!$B:$B,MATCH($C$185,Original!$A:$A,0)+30),$I$185),1,IF(G190=1,1,IF(INDEX(Original!$B:$B,MATCH($C$185,Original!$A:$A,0)+30)=0," ; ",INDEX(Original!$B:$B,MATCH($C$185,Original!$A:$A,0)+30))))</f>
        <v>#N/A</v>
      </c>
      <c r="I190" s="23"/>
      <c r="J190" s="24"/>
      <c r="K190" s="24"/>
      <c r="L190" s="24"/>
      <c r="M190" s="22"/>
      <c r="N190" s="22"/>
      <c r="O190" s="22"/>
      <c r="P190" s="199"/>
    </row>
    <row r="191" spans="1:16" ht="15" customHeight="1">
      <c r="A191" s="75"/>
      <c r="B191" s="33"/>
      <c r="C191" s="34"/>
      <c r="D191" s="143"/>
      <c r="E191" s="34"/>
      <c r="F191" s="35"/>
      <c r="G191" s="34"/>
      <c r="H191" s="144"/>
      <c r="I191" s="34"/>
      <c r="J191" s="35"/>
      <c r="K191" s="35"/>
      <c r="L191" s="35"/>
      <c r="M191" s="33"/>
      <c r="N191" s="33"/>
      <c r="O191" s="33"/>
      <c r="P191" s="199"/>
    </row>
    <row r="192" spans="1:16" ht="15" customHeight="1">
      <c r="A192" s="75" t="s">
        <v>101</v>
      </c>
      <c r="B192" s="33"/>
      <c r="C192" s="34"/>
      <c r="D192" s="34"/>
      <c r="E192" s="35"/>
      <c r="F192" s="35"/>
      <c r="G192" s="35"/>
      <c r="H192" s="35"/>
      <c r="I192" s="35"/>
      <c r="J192" s="35"/>
      <c r="K192" s="35"/>
      <c r="L192" s="35"/>
      <c r="M192" s="33" t="e">
        <f>M$3</f>
        <v>#N/A</v>
      </c>
      <c r="N192" s="33" t="e">
        <f>_xlfn.CONCAT(A192,M192," a ","schema:ItemList ;")</f>
        <v>#N/A</v>
      </c>
      <c r="O192" s="33" t="str">
        <f>""</f>
        <v/>
      </c>
      <c r="P192" s="199"/>
    </row>
    <row r="193" spans="1:16">
      <c r="A193" s="21" t="s">
        <v>99</v>
      </c>
      <c r="B193" s="22"/>
      <c r="C193" s="23"/>
      <c r="D193" s="23"/>
      <c r="E193" s="24"/>
      <c r="F193" s="24"/>
      <c r="G193" s="24"/>
      <c r="H193" s="24"/>
      <c r="I193" s="24"/>
      <c r="J193" s="24"/>
      <c r="K193" s="24"/>
      <c r="L193" s="24"/>
      <c r="M193" s="22" t="str">
        <f>_xlfn.CONCAT(B$1,"Content",B$1)</f>
        <v>"Content"</v>
      </c>
      <c r="N193" s="22" t="str">
        <f>""</f>
        <v/>
      </c>
      <c r="O193" s="22" t="str">
        <f>_xlfn.CONCAT(A193,M193," ;")</f>
        <v>schema:identifier "Content" ;</v>
      </c>
      <c r="P193" s="199"/>
    </row>
    <row r="194" spans="1:16" ht="15" customHeight="1">
      <c r="A194" s="21" t="s">
        <v>22</v>
      </c>
      <c r="B194" s="22"/>
      <c r="C194" s="23"/>
      <c r="D194" s="23"/>
      <c r="E194" s="24"/>
      <c r="F194" s="24"/>
      <c r="G194" s="24"/>
      <c r="H194" s="24"/>
      <c r="I194" s="24"/>
      <c r="J194" s="24"/>
      <c r="K194" s="24"/>
      <c r="L194" s="24"/>
      <c r="M194" s="22" t="e">
        <f>_xlfn.CONCAT(B$1,"Inhalt ",M192,B$1)</f>
        <v>#N/A</v>
      </c>
      <c r="N194" s="22" t="str">
        <f>""</f>
        <v/>
      </c>
      <c r="O194" s="22" t="e">
        <f>_xlfn.CONCAT(A194,M194," ;")</f>
        <v>#N/A</v>
      </c>
      <c r="P194" s="199"/>
    </row>
    <row r="195" spans="1:16" ht="15" customHeight="1">
      <c r="A195" s="21" t="s">
        <v>100</v>
      </c>
      <c r="B195" s="22" t="e">
        <f>VLOOKUP(C195,Original!A:B,2,0)</f>
        <v>#N/A</v>
      </c>
      <c r="C195" s="23" t="s">
        <v>15</v>
      </c>
      <c r="D195" s="129" t="e" cm="1">
        <f t="array" ref="D195">IF(INDEX(Original!$B:$B,MATCH($C195,Original!$A:$A,0)+1)=0," ; ",IF(EXACT(INDEX(Original!$B:$B,MATCH($C195,Original!$A:$A,0)+1),I195),1,INDEX(Original!$B:$B,MATCH($C195,Original!$A:$A,0)+1)))</f>
        <v>#N/A</v>
      </c>
      <c r="E195" s="24" t="e" cm="1">
        <f t="array" ref="E195">IF(EXACT(INDEX(Original!$B:$B,MATCH($C195,Original!$A:$A,0)+2),$I$195),1,IF(D195=1,1,IF(INDEX(Original!$B:$B,MATCH($C195,Original!$A:$A,0)+2)=0," ; ",INDEX(Original!$B:$B,MATCH($C195,Original!$A:$A,0)+2))))</f>
        <v>#N/A</v>
      </c>
      <c r="F195" s="24" t="e" cm="1">
        <f t="array" ref="F195">IF(EXACT(INDEX(Original!$B:$B,MATCH($C195,Original!$A:$A,0)+3),$I$195),1,IF(E195=1,1,IF(INDEX(Original!$B:$B,MATCH($C195,Original!$A:$A,0)+3)=0," ; ",INDEX(Original!$B:$B,MATCH($C195,Original!$A:$A,0)+3))))</f>
        <v>#N/A</v>
      </c>
      <c r="G195" s="24" t="e" cm="1">
        <f t="array" ref="G195">IF(EXACT(INDEX(Original!$B:$B,MATCH($C195,Original!$A:$A,0)+4),$I$195),1,IF(F195=1,1,IF(INDEX(Original!$B:$B,MATCH($C195,Original!$A:$A,0)+4)=0," ; ",INDEX(Original!$B:$B,MATCH($C195,Original!$A:$A,0)+4))))</f>
        <v>#N/A</v>
      </c>
      <c r="H195" s="24" t="e" cm="1">
        <f t="array" ref="H195">IF(EXACT(INDEX(Original!$B:$B,MATCH($C195,Original!$A:$A,0)+5),$I$195),1,IF(G195=1,1,IF(INDEX(Original!$B:$B,MATCH($C195,Original!$A:$A,0)+5)=0," ; ",INDEX(Original!$B:$B,MATCH($C195,Original!$A:$A,0)+5))))</f>
        <v>#N/A</v>
      </c>
      <c r="I195" s="23" t="e">
        <f>VLOOKUP(J195,Original!$A:$B,2,0)</f>
        <v>#N/A</v>
      </c>
      <c r="J195" s="89" t="s">
        <v>16</v>
      </c>
      <c r="K195" s="23" t="str" cm="1">
        <f t="array" ref="K195">IF(ISNA(D195),"",TRIM(SUBSTITUTE(SUBSTITUTE(SUBSTITUTE(SUBSTITUTE(LEFT(_xlfn.CONCAT(B195," ; ",D195," ; ",E195," ; ",F195," ; ",G195," ; ",H195," ; ",D196," ; ",E196," ; ",F196," ; ",G196," ; ",H196," ; ",D197," ; ",E197," ; ",F197," ; ",G197," ; ",H197," ; ",D198," ; ",E198," ; ",F198," ; ",G198," ; ",H198," ; ",D199," ; ",E199," ; ",F199," ; ",G199," ; ",H199," ; ",D200," ; ",E200," ; ",F200," ; ",G200," ; ",H200),SUM(LEN(B195),LEN(D195:H200))+90-SUM(D195:H200)-PRODUCT(SUM(D195:H200),3)),"","-&gt;"),"·      ",";"),"Keine","",1),"""","'")))</f>
        <v/>
      </c>
      <c r="L195" s="89"/>
      <c r="M195" s="22" t="str">
        <f>_xlfn.CONCAT(B$1,K195,B$1)</f>
        <v>""</v>
      </c>
      <c r="N195" s="22" t="str">
        <f>""</f>
        <v/>
      </c>
      <c r="O195" s="22" t="str">
        <f>_xlfn.CONCAT(A195,M195," .")</f>
        <v>schema:itemListElement "" .</v>
      </c>
      <c r="P195" s="199"/>
    </row>
    <row r="196" spans="1:16" ht="15" customHeight="1">
      <c r="A196" s="22"/>
      <c r="B196" s="22"/>
      <c r="C196" s="23"/>
      <c r="D196" s="24" t="e" cm="1">
        <f t="array" ref="D196">IF(EXACT(INDEX(Original!$B:$B,MATCH($C195,Original!$A:$A,0)+6),$I$195),1,IF(H195=1,1,IF(INDEX(Original!$B:$B,MATCH($C195,Original!$A:$A,0)+6)=0," ; ",INDEX(Original!$B:$B,MATCH($C195,Original!$A:$A,0)+6))))</f>
        <v>#N/A</v>
      </c>
      <c r="E196" s="24" t="e" cm="1">
        <f t="array" ref="E196">IF(EXACT(INDEX(Original!$B:$B,MATCH($C195,Original!$A:$A,0)+7),$I$195),1,IF(D196=1,1,IF(INDEX(Original!$B:$B,MATCH($C195,Original!$A:$A,0)+7)=0," ; ",INDEX(Original!$B:$B,MATCH($C195,Original!$A:$A,0)+7))))</f>
        <v>#N/A</v>
      </c>
      <c r="F196" s="24" t="e" cm="1">
        <f t="array" ref="F196">IF(EXACT(INDEX(Original!$B:$B,MATCH($C195,Original!$A:$A,0)+8),$I$195),1,IF(E196=1,1,IF(INDEX(Original!$B:$B,MATCH($C195,Original!$A:$A,0)+8)=0," ; ",INDEX(Original!$B:$B,MATCH($C195,Original!$A:$A,0)+8))))</f>
        <v>#N/A</v>
      </c>
      <c r="G196" s="24" t="e" cm="1">
        <f t="array" ref="G196">IF(EXACT(INDEX(Original!$B:$B,MATCH($C195,Original!$A:$A,0)+9),$I$195),1,IF(F196=1,1,IF(INDEX(Original!$B:$B,MATCH($C195,Original!$A:$A,0)+9)=0," ; ",INDEX(Original!$B:$B,MATCH($C195,Original!$A:$A,0)+9))))</f>
        <v>#N/A</v>
      </c>
      <c r="H196" s="24" t="e" cm="1">
        <f t="array" ref="H196">IF(EXACT(INDEX(Original!$B:$B,MATCH($C195,Original!$A:$A,0)+10),$I$195),1,IF(G196=1,1,IF(INDEX(Original!$B:$B,MATCH($C195,Original!$A:$A,0)+10)=0," ; ",INDEX(Original!$B:$B,MATCH($C195,Original!$A:$A,0)+10))))</f>
        <v>#N/A</v>
      </c>
      <c r="I196" s="23"/>
      <c r="J196" s="89"/>
      <c r="K196" s="89"/>
      <c r="L196" s="89"/>
      <c r="M196" s="22"/>
      <c r="N196" s="22"/>
      <c r="O196" s="22"/>
      <c r="P196" s="199"/>
    </row>
    <row r="197" spans="1:16">
      <c r="A197" s="22"/>
      <c r="B197" s="22"/>
      <c r="C197" s="23"/>
      <c r="D197" s="24" t="e" cm="1">
        <f t="array" ref="D197">IF(EXACT(INDEX(Original!$B:$B,MATCH($C195,Original!$A:$A,0)+11),$I$195),1,IF(H196=1,1,IF(INDEX(Original!$B:$B,MATCH($C195,Original!$A:$A,0)+11)=0," ; ",INDEX(Original!$B:$B,MATCH($C195,Original!$A:$A,0)+11))))</f>
        <v>#N/A</v>
      </c>
      <c r="E197" s="24" t="e" cm="1">
        <f t="array" ref="E197">IF(EXACT(INDEX(Original!$B:$B,MATCH($C195,Original!$A:$A,0)+12),$I$195),1,IF(D197=1,1,IF(INDEX(Original!$B:$B,MATCH($C195,Original!$A:$A,0)+12)=0," ; ",INDEX(Original!$B:$B,MATCH($C195,Original!$A:$A,0)+12))))</f>
        <v>#N/A</v>
      </c>
      <c r="F197" s="24" t="e" cm="1">
        <f t="array" ref="F197">IF(EXACT(INDEX(Original!$B:$B,MATCH($C195,Original!$A:$A,0)+13),$I$195),1,IF(E197=1,1,IF(INDEX(Original!$B:$B,MATCH($C195,Original!$A:$A,0)+13)=0," ; ",INDEX(Original!$B:$B,MATCH($C195,Original!$A:$A,0)+13))))</f>
        <v>#N/A</v>
      </c>
      <c r="G197" s="24" t="e" cm="1">
        <f t="array" ref="G197">IF(EXACT(INDEX(Original!$B:$B,MATCH($C195,Original!$A:$A,0)+14),$I$195),1,IF(F197=1,1,IF(INDEX(Original!$B:$B,MATCH($C195,Original!$A:$A,0)+14)=0," ; ",INDEX(Original!$B:$B,MATCH($C195,Original!$A:$A,0)+14))))</f>
        <v>#N/A</v>
      </c>
      <c r="H197" s="24" t="e" cm="1">
        <f t="array" ref="H197">IF(EXACT(INDEX(Original!$B:$B,MATCH($C195,Original!$A:$A,0)+15),$I$195),1,IF(G197=1,1,IF(INDEX(Original!$B:$B,MATCH($C195,Original!$A:$A,0)+15)=0," ; ",INDEX(Original!$B:$B,MATCH($C195,Original!$A:$A,0)+15))))</f>
        <v>#N/A</v>
      </c>
      <c r="I197" s="23"/>
      <c r="J197" s="24"/>
      <c r="K197" s="24"/>
      <c r="L197" s="24"/>
      <c r="M197" s="22"/>
      <c r="N197" s="22"/>
      <c r="O197" s="22"/>
      <c r="P197" s="199"/>
    </row>
    <row r="198" spans="1:16">
      <c r="A198" s="22"/>
      <c r="B198" s="22"/>
      <c r="C198" s="23"/>
      <c r="D198" s="24" t="e" cm="1">
        <f t="array" ref="D198">IF(EXACT(INDEX(Original!$B:$B,MATCH($C$195,Original!$A:$A,0)+16),$I$195),1,IF(H197=1,1,IF(INDEX(Original!$B:$B,MATCH($C$195,Original!$A:$A,0)+16)=0," ; ",INDEX(Original!$B:$B,MATCH($C$195,Original!$A:$A,0)+16))))</f>
        <v>#N/A</v>
      </c>
      <c r="E198" s="24" t="e" cm="1">
        <f t="array" ref="E198">IF(EXACT(INDEX(Original!$B:$B,MATCH($C$195,Original!$A:$A,0)+17),$I$195),1,IF(D198=1,1,IF(INDEX(Original!$B:$B,MATCH($C$195,Original!$A:$A,0)+17)=0," ; ",INDEX(Original!$B:$B,MATCH($C$195,Original!$A:$A,0)+17))))</f>
        <v>#N/A</v>
      </c>
      <c r="F198" s="24" t="e" cm="1">
        <f t="array" ref="F198">IF(EXACT(INDEX(Original!$B:$B,MATCH($C$195,Original!$A:$A,0)+18),$I$195),1,IF(E198=1,1,IF(INDEX(Original!$B:$B,MATCH($C$195,Original!$A:$A,0)+18)=0," ; ",INDEX(Original!$B:$B,MATCH($C$195,Original!$A:$A,0)+18))))</f>
        <v>#N/A</v>
      </c>
      <c r="G198" s="24" t="e" cm="1">
        <f t="array" ref="G198">IF(EXACT(INDEX(Original!$B:$B,MATCH($C$195,Original!$A:$A,0)+19),$I$195),1,IF(F198=1,1,IF(INDEX(Original!$B:$B,MATCH($C$195,Original!$A:$A,0)+19)=0," ; ",INDEX(Original!$B:$B,MATCH($C$195,Original!$A:$A,0)+19))))</f>
        <v>#N/A</v>
      </c>
      <c r="H198" s="24" t="e" cm="1">
        <f t="array" ref="H198">IF(EXACT(INDEX(Original!$B:$B,MATCH($C$195,Original!$A:$A,0)+20),$I$195),1,IF(G198=1,1,IF(INDEX(Original!$B:$B,MATCH($C$195,Original!$A:$A,0)+20)=0," ; ",INDEX(Original!$B:$B,MATCH($C$195,Original!$A:$A,0)+20))))</f>
        <v>#N/A</v>
      </c>
      <c r="I198" s="23"/>
      <c r="J198" s="24"/>
      <c r="K198" s="24"/>
      <c r="L198" s="24"/>
      <c r="M198" s="22"/>
      <c r="N198" s="22"/>
      <c r="O198" s="22"/>
      <c r="P198" s="199"/>
    </row>
    <row r="199" spans="1:16">
      <c r="A199" s="22"/>
      <c r="B199" s="22"/>
      <c r="C199" s="23"/>
      <c r="D199" s="24" t="e" cm="1">
        <f t="array" ref="D199">IF(EXACT(INDEX(Original!$B:$B,MATCH($C$195,Original!$A:$A,0)+21),$I$195),1,IF(H198=1,1,IF(INDEX(Original!$B:$B,MATCH($C$195,Original!$A:$A,0)+21)=0," ; ",INDEX(Original!$B:$B,MATCH($C$195,Original!$A:$A,0)+21))))</f>
        <v>#N/A</v>
      </c>
      <c r="E199" s="24" t="e" cm="1">
        <f t="array" ref="E199">IF(EXACT(INDEX(Original!$B:$B,MATCH($C$195,Original!$A:$A,0)+22),$I$195),1,IF(D199=1,1,IF(INDEX(Original!$B:$B,MATCH($C$195,Original!$A:$A,0)+22)=0," ; ",INDEX(Original!$B:$B,MATCH($C$195,Original!$A:$A,0)+22))))</f>
        <v>#N/A</v>
      </c>
      <c r="F199" s="24" t="e" cm="1">
        <f t="array" ref="F199">IF(EXACT(INDEX(Original!$B:$B,MATCH($C$195,Original!$A:$A,0)+23),$I$195),1,IF(E199=1,1,IF(INDEX(Original!$B:$B,MATCH($C$195,Original!$A:$A,0)+23)=0," ; ",INDEX(Original!$B:$B,MATCH($C$195,Original!$A:$A,0)+23))))</f>
        <v>#N/A</v>
      </c>
      <c r="G199" s="24" t="e" cm="1">
        <f t="array" ref="G199">IF(EXACT(INDEX(Original!$B:$B,MATCH($C$195,Original!$A:$A,0)+24),$I$195),1,IF(F199=1,1,IF(INDEX(Original!$B:$B,MATCH($C$195,Original!$A:$A,0)+24)=0," ; ",INDEX(Original!$B:$B,MATCH($C$195,Original!$A:$A,0)+24))))</f>
        <v>#N/A</v>
      </c>
      <c r="H199" s="24" t="e" cm="1">
        <f t="array" ref="H199">IF(EXACT(INDEX(Original!$B:$B,MATCH($C$195,Original!$A:$A,0)+25),$I$195),1,IF(G199=1,1,IF(INDEX(Original!$B:$B,MATCH($C$195,Original!$A:$A,0)+25)=0," ; ",INDEX(Original!$B:$B,MATCH($C$195,Original!$A:$A,0)+25))))</f>
        <v>#N/A</v>
      </c>
      <c r="I199" s="23"/>
      <c r="J199" s="24"/>
      <c r="K199" s="24"/>
      <c r="L199" s="24"/>
      <c r="M199" s="22"/>
      <c r="N199" s="22"/>
      <c r="O199" s="22"/>
      <c r="P199" s="199"/>
    </row>
    <row r="200" spans="1:16">
      <c r="A200" s="78"/>
      <c r="B200" s="78"/>
      <c r="C200" s="79"/>
      <c r="D200" s="79" t="e" cm="1">
        <f t="array" ref="D200">IF(EXACT(INDEX(Original!$B:$B,MATCH($C$195,Original!$A:$A,0)+26),$I$195),1,IF(H199=1,1,IF(INDEX(Original!$B:$B,MATCH($C$195,Original!$A:$A,0)+26)=0," ; ",INDEX(Original!$B:$B,MATCH($C$195,Original!$A:$A,0)+26))))</f>
        <v>#N/A</v>
      </c>
      <c r="E200" s="79" t="e" cm="1">
        <f t="array" ref="E200">IF(EXACT(INDEX(Original!$B:$B,MATCH($C$195,Original!$A:$A,0)+27),$I$195),1,IF(D200=1,1,IF(INDEX(Original!$B:$B,MATCH($C$195,Original!$A:$A,0)+27)=0," ; ",INDEX(Original!$B:$B,MATCH($C$195,Original!$A:$A,0)+27))))</f>
        <v>#N/A</v>
      </c>
      <c r="F200" s="79" t="e" cm="1">
        <f t="array" ref="F200">IF(EXACT(INDEX(Original!$B:$B,MATCH($C$195,Original!$A:$A,0)+28),$I$195),1,IF(E200=1,1,IF(INDEX(Original!$B:$B,MATCH($C$195,Original!$A:$A,0)+28)=0," ; ",INDEX(Original!$B:$B,MATCH($C$195,Original!$A:$A,0)+28))))</f>
        <v>#N/A</v>
      </c>
      <c r="G200" s="79" t="e" cm="1">
        <f t="array" ref="G200">IF(EXACT(INDEX(Original!$B:$B,MATCH($C$195,Original!$A:$A,0)+29),$I$195),1,IF(F200=1,1,IF(INDEX(Original!$B:$B,MATCH($C$195,Original!$A:$A,0)+29)=0," ; ",INDEX(Original!$B:$B,MATCH($C$195,Original!$A:$A,0)+29))))</f>
        <v>#N/A</v>
      </c>
      <c r="H200" s="79" t="e" cm="1">
        <f t="array" ref="H200">IF(EXACT(INDEX(Original!$B:$B,MATCH($C$195,Original!$A:$A,0)+30),$I$195),1,IF(G200=1,1,IF(INDEX(Original!$B:$B,MATCH($C$195,Original!$A:$A,0)+30)=0," ; ",INDEX(Original!$B:$B,MATCH($C$195,Original!$A:$A,0)+30))))</f>
        <v>#N/A</v>
      </c>
      <c r="I200" s="79"/>
      <c r="J200" s="80"/>
      <c r="K200" s="80"/>
      <c r="L200" s="80"/>
      <c r="M200" s="78"/>
      <c r="N200" s="78"/>
      <c r="O200" s="78"/>
      <c r="P200" s="199"/>
    </row>
    <row r="201" spans="1:16">
      <c r="A201" s="21"/>
      <c r="B201" s="22"/>
      <c r="C201" s="23"/>
      <c r="D201" s="24"/>
      <c r="E201" s="24"/>
      <c r="F201" s="24"/>
      <c r="G201" s="24"/>
      <c r="H201" s="24"/>
      <c r="I201" s="23"/>
      <c r="J201" s="24"/>
      <c r="K201" s="24"/>
      <c r="L201" s="24"/>
      <c r="M201" s="22"/>
      <c r="N201" s="22"/>
      <c r="O201" s="22"/>
      <c r="P201" s="199"/>
    </row>
    <row r="202" spans="1:16" ht="15" customHeight="1">
      <c r="A202" s="75" t="s">
        <v>103</v>
      </c>
      <c r="B202" s="33"/>
      <c r="C202" s="34"/>
      <c r="D202" s="34"/>
      <c r="E202" s="35"/>
      <c r="F202" s="35"/>
      <c r="G202" s="35"/>
      <c r="H202" s="35"/>
      <c r="I202" s="35"/>
      <c r="J202" s="35"/>
      <c r="K202" s="35"/>
      <c r="L202" s="35"/>
      <c r="M202" s="33" t="e">
        <f>M$3</f>
        <v>#N/A</v>
      </c>
      <c r="N202" s="33" t="e">
        <f>_xlfn.CONCAT(A202,M202," a ","schema:ItemList ;")</f>
        <v>#N/A</v>
      </c>
      <c r="O202" s="33" t="str">
        <f>""</f>
        <v/>
      </c>
      <c r="P202" s="199"/>
    </row>
    <row r="203" spans="1:16" ht="97" customHeight="1">
      <c r="A203" s="21" t="s">
        <v>99</v>
      </c>
      <c r="B203" s="22"/>
      <c r="C203" s="22"/>
      <c r="D203" s="23"/>
      <c r="E203" s="24"/>
      <c r="F203" s="24"/>
      <c r="G203" s="24"/>
      <c r="H203" s="24"/>
      <c r="I203" s="24"/>
      <c r="J203" s="24"/>
      <c r="K203" s="24"/>
      <c r="L203" s="24"/>
      <c r="M203" s="22" t="str">
        <f>_xlfn.CONCAT(B$1,"Exam",B$1)</f>
        <v>"Exam"</v>
      </c>
      <c r="N203" s="22" t="str">
        <f>""</f>
        <v/>
      </c>
      <c r="O203" s="22" t="str">
        <f>_xlfn.CONCAT(A203,M203," ;")</f>
        <v>schema:identifier "Exam" ;</v>
      </c>
      <c r="P203" s="199"/>
    </row>
    <row r="204" spans="1:16">
      <c r="A204" s="21" t="s">
        <v>22</v>
      </c>
      <c r="B204" s="22"/>
      <c r="C204" s="23"/>
      <c r="D204" s="23"/>
      <c r="E204" s="24"/>
      <c r="F204" s="24"/>
      <c r="G204" s="24"/>
      <c r="H204" s="24"/>
      <c r="I204" s="24"/>
      <c r="J204" s="24"/>
      <c r="K204" s="24"/>
      <c r="L204" s="24"/>
      <c r="M204" s="22" t="e">
        <f>_xlfn.CONCAT(B$1,"Studien-/Prüfungsleistungen ",M202,B$1)</f>
        <v>#N/A</v>
      </c>
      <c r="N204" s="22" t="str">
        <f>""</f>
        <v/>
      </c>
      <c r="O204" s="22" t="e">
        <f>_xlfn.CONCAT(A204,M204," ;")</f>
        <v>#N/A</v>
      </c>
      <c r="P204" s="199"/>
    </row>
    <row r="205" spans="1:16" ht="15" customHeight="1">
      <c r="A205" s="27" t="s">
        <v>100</v>
      </c>
      <c r="B205" s="28" t="e">
        <f>VLOOKUP(C205,Original!A:B,2,0)</f>
        <v>#N/A</v>
      </c>
      <c r="C205" s="54" t="s">
        <v>12</v>
      </c>
      <c r="D205" s="90" t="e" cm="1">
        <f t="array" ref="D205">IF(ISERROR(FIND(I205,INDEX(Original!$B:$B,MATCH(B205,Original!$B:$B,0)+1))),INDEX(Original!$B:$B,MATCH(B205,Original!$B:$B,0)+1),1)</f>
        <v>#N/A</v>
      </c>
      <c r="E205" s="29" t="e" cm="1">
        <f t="array" ref="E205">IF(D205=1,1,IF(ISERROR(FIND(I205,INDEX(Original!$B:$B,MATCH(B205,Original!$B:$B,0)+2))),INDEX(Original!$B:$B,MATCH(B205,Original!$B:$B,0)+2),1))</f>
        <v>#N/A</v>
      </c>
      <c r="F205" s="29" t="e" cm="1">
        <f t="array" ref="F205">IF(E205=1,1,IF(ISERROR(FIND(I205,INDEX(Original!$B:$B,MATCH(B205,Original!$B:$B,0)+3))),INDEX(Original!$B:$B,MATCH(B205,Original!$B:$B,0)+3),1))</f>
        <v>#N/A</v>
      </c>
      <c r="G205" s="54" t="e" cm="1">
        <f t="array" ref="G205">IF(F205=1,1,IF(ISERROR(FIND(I205,INDEX(Original!$B:$B,MATCH(B205,Original!$B:$B,0)+4))),INDEX(Original!$B:$B,MATCH(B205,Original!$B:$B,0)+4),1))</f>
        <v>#N/A</v>
      </c>
      <c r="H205" s="29" t="e" cm="1">
        <f t="array" ref="H205">IF(G205=1,1,IF(ISERROR(FIND(I205,INDEX(Original!$B:$B,MATCH(B205,Original!$B:$B,0)+5))),INDEX(Original!$B:$B,MATCH(B205,Original!$B:$B,0)+5),1))</f>
        <v>#N/A</v>
      </c>
      <c r="I205" s="54" t="e">
        <f>VLOOKUP(J205,Original!$A:$B,2,0)</f>
        <v>#N/A</v>
      </c>
      <c r="J205" s="91" t="s">
        <v>13</v>
      </c>
      <c r="K205" s="91"/>
      <c r="L205" s="91"/>
      <c r="M205" s="28" t="e" cm="1">
        <f t="array" ref="M205">TRIM(IF(ISERROR(LEFT(_xlfn.CONCAT(B205,D205:H205),SUM(LEN(B205),LEN(D205:H205))-SUM(D205:H205))),B205,B205))</f>
        <v>#N/A</v>
      </c>
      <c r="N205" s="28" t="str">
        <f>""</f>
        <v/>
      </c>
      <c r="O205" s="28" t="e">
        <f>_xlfn.CONCAT(A205,B$1,M205,B$1," .")</f>
        <v>#N/A</v>
      </c>
      <c r="P205" s="200"/>
    </row>
    <row r="206" spans="1:16">
      <c r="A206" s="68"/>
    </row>
    <row r="207" spans="1:16">
      <c r="A207" s="68" t="s">
        <v>105</v>
      </c>
      <c r="B207" s="41"/>
      <c r="C207" s="42"/>
      <c r="D207" s="42"/>
      <c r="E207" s="43"/>
      <c r="F207" s="43"/>
      <c r="G207" s="43"/>
      <c r="H207" s="43"/>
      <c r="I207" s="43"/>
      <c r="J207" s="43"/>
      <c r="K207" s="43"/>
      <c r="L207" s="43"/>
      <c r="M207" s="41"/>
      <c r="N207" s="41"/>
      <c r="O207" s="41"/>
      <c r="P207" s="44"/>
    </row>
    <row r="208" spans="1:16">
      <c r="A208" s="21" t="s">
        <v>20</v>
      </c>
      <c r="B208" s="22"/>
      <c r="C208" s="23"/>
      <c r="D208" s="23" t="e" cm="1">
        <f t="array" ref="D208">MAX(IF(WiSoSe_Finder!A1:H10=B29,ROW(WiSoSe_Finder!A1:H10)))</f>
        <v>#N/A</v>
      </c>
      <c r="E208" s="24" t="e">
        <f>IF(EVEN(D208)=D208,"So20_","Wi19_")</f>
        <v>#N/A</v>
      </c>
      <c r="F208" s="24"/>
      <c r="G208" s="24"/>
      <c r="H208" s="24"/>
      <c r="I208" s="24"/>
      <c r="J208" s="24"/>
      <c r="K208" s="24"/>
      <c r="L208" s="24"/>
      <c r="M208" s="22" t="e">
        <f>M$3</f>
        <v>#N/A</v>
      </c>
      <c r="N208" s="22" t="e">
        <f>_xlfn.CONCAT(A208,E208,M208," a ","schema:CourseInstance ;")</f>
        <v>#N/A</v>
      </c>
      <c r="O208" s="22" t="str">
        <f>""</f>
        <v/>
      </c>
      <c r="P208" s="52"/>
    </row>
    <row r="209" spans="1:17" ht="15" customHeight="1">
      <c r="A209" s="21" t="s">
        <v>106</v>
      </c>
      <c r="B209" s="22" t="e">
        <f>TRIM(VLOOKUP(C209,Original!A:B,2,0))</f>
        <v>#N/A</v>
      </c>
      <c r="C209" s="23" t="s">
        <v>1</v>
      </c>
      <c r="D209" s="23" t="e" cm="1">
        <f t="array" ref="D209">MAX(IF(WiSoSe_Finder!A1:H10=B211,ROW(WiSoSe_Finder!A1:H10)))</f>
        <v>#N/A</v>
      </c>
      <c r="E209" s="23" t="e">
        <f>IF(EVEN(D209)=D209,"jedes Sommersemester","jedes Wintersemester")</f>
        <v>#N/A</v>
      </c>
      <c r="F209" s="24"/>
      <c r="G209" s="24"/>
      <c r="H209" s="24"/>
      <c r="I209" s="24"/>
      <c r="J209" s="24"/>
      <c r="K209" s="24"/>
      <c r="L209" s="24"/>
      <c r="M209" s="22" t="e">
        <f>_xlfn.CONCAT(B$1,E209,B$1)</f>
        <v>#N/A</v>
      </c>
      <c r="N209" s="22" t="str">
        <f>""</f>
        <v/>
      </c>
      <c r="O209" s="22" t="e">
        <f>_xlfn.CONCAT(A209,M209," ;")</f>
        <v>#N/A</v>
      </c>
      <c r="P209" s="52"/>
    </row>
    <row r="210" spans="1:17">
      <c r="A210" s="21" t="s">
        <v>107</v>
      </c>
      <c r="B210" s="22"/>
      <c r="C210" s="23"/>
      <c r="D210" s="23"/>
      <c r="E210" s="24"/>
      <c r="F210" s="24"/>
      <c r="G210" s="24"/>
      <c r="H210" s="24"/>
      <c r="I210" s="24"/>
      <c r="J210" s="24"/>
      <c r="K210" s="24"/>
      <c r="L210" s="24"/>
      <c r="M210" s="22" t="str">
        <f>_xlfn.CONCAT(B$1,"P0.5Y",B$1)</f>
        <v>"P0.5Y"</v>
      </c>
      <c r="N210" s="22" t="str">
        <f>""</f>
        <v/>
      </c>
      <c r="O210" s="22" t="str">
        <f>_xlfn.CONCAT(A210,M210," ;")</f>
        <v>schema:duration "P0.5Y" ;</v>
      </c>
      <c r="P210" s="52"/>
    </row>
    <row r="211" spans="1:17">
      <c r="A211" s="21" t="s">
        <v>99</v>
      </c>
      <c r="B211" s="22" t="e">
        <f>TRIM(VLOOKUP(C211,Original!A:B,2,0))</f>
        <v>#N/A</v>
      </c>
      <c r="C211" s="23" t="s">
        <v>1</v>
      </c>
      <c r="D211" s="23" t="e" cm="1">
        <f t="array" ref="D211">MAX(IF(WiSoSe_Finder!A1:H10=B211,ROW(WiSoSe_Finder!A1:H10)))</f>
        <v>#N/A</v>
      </c>
      <c r="E211" s="24" t="e">
        <f>IF(EVEN(D211)=D211,"So","Wi")</f>
        <v>#N/A</v>
      </c>
      <c r="F211" s="24"/>
      <c r="G211" s="24"/>
      <c r="H211" s="24"/>
      <c r="I211" s="24"/>
      <c r="J211" s="24"/>
      <c r="K211" s="24"/>
      <c r="L211" s="24"/>
      <c r="M211" s="22" t="e">
        <f>_xlfn.CONCAT(B$1,M208," ",E211,"Se19/20",B$1)</f>
        <v>#N/A</v>
      </c>
      <c r="N211" s="22"/>
      <c r="O211" s="22" t="e">
        <f>_xlfn.CONCAT(A211,M211," ;")</f>
        <v>#N/A</v>
      </c>
      <c r="P211" s="52"/>
    </row>
    <row r="212" spans="1:17" ht="15" customHeight="1">
      <c r="A212" s="27" t="s">
        <v>108</v>
      </c>
      <c r="B212" s="28"/>
      <c r="C212" s="54"/>
      <c r="D212" s="54" t="e">
        <f>IF(LEN(B44)-LEN(SUBSTITUTE(B44,",",))=3,_xlfn.CONCAT(M42," , ",M51," , ",M60," , ",M69),IF(LEN(B44)-LEN(SUBSTITUTE(B44,",",))=2,_xlfn.CONCAT(M42," , ",M51," , ",M60),IF(LEN(B44)-LEN(SUBSTITUTE(B44,",",))=1,_xlfn.CONCAT(M42," , ",M51),_xlfn.CONCAT(M42))))</f>
        <v>#N/A</v>
      </c>
      <c r="E212" s="29" t="str">
        <f>" , thb-fbwm:"</f>
        <v xml:space="preserve"> , thb-fbwm:</v>
      </c>
      <c r="F212" s="29"/>
      <c r="G212" s="29"/>
      <c r="H212" s="29"/>
      <c r="I212" s="29"/>
      <c r="J212" s="29"/>
      <c r="K212" s="29"/>
      <c r="L212" s="29"/>
      <c r="M212" s="28" t="e">
        <f>IF(LEN(B44)-LEN(SUBSTITUTE(B44,",",))=3,_xlfn.CONCAT(M42,E212,M51,E212,M60,E212,M69),IF(LEN(B44)-LEN(SUBSTITUTE(B44,",",))=2,_xlfn.CONCAT(M42,E212,M51,E212,M60),IF(LEN(B44)-LEN(SUBSTITUTE(B44,",",))=1,_xlfn.CONCAT(M42,E212,M51),_xlfn.CONCAT(M42))))</f>
        <v>#N/A</v>
      </c>
      <c r="N212" s="28" t="str">
        <f>""</f>
        <v/>
      </c>
      <c r="O212" s="28" t="e">
        <f>_xlfn.CONCAT(A212,M212," .")</f>
        <v>#N/A</v>
      </c>
      <c r="P212" s="92"/>
    </row>
    <row r="213" spans="1:17">
      <c r="N213" s="22"/>
      <c r="O213" s="22"/>
    </row>
    <row r="214" spans="1:17">
      <c r="A214" s="68" t="s">
        <v>109</v>
      </c>
      <c r="B214" s="41"/>
      <c r="C214" s="42"/>
      <c r="D214" s="42"/>
      <c r="E214" s="42"/>
      <c r="F214" s="43"/>
      <c r="G214" s="43"/>
      <c r="H214" s="43"/>
      <c r="I214" s="43"/>
      <c r="J214" s="43"/>
      <c r="K214" s="43"/>
      <c r="L214" s="43"/>
      <c r="M214" s="41"/>
      <c r="N214" s="41"/>
      <c r="O214" s="41"/>
      <c r="P214" s="44"/>
    </row>
    <row r="215" spans="1:17">
      <c r="A215" s="45"/>
      <c r="B215" s="22"/>
      <c r="C215" s="23"/>
      <c r="D215" s="23"/>
      <c r="E215" s="23"/>
      <c r="F215" s="24"/>
      <c r="G215" s="24"/>
      <c r="H215" s="24"/>
      <c r="I215" s="24"/>
      <c r="J215" s="24"/>
      <c r="K215" s="24"/>
      <c r="L215" s="24"/>
      <c r="M215" s="22"/>
      <c r="N215" s="22"/>
      <c r="O215" s="22"/>
      <c r="P215" s="52"/>
    </row>
    <row r="216" spans="1:17" ht="15" customHeight="1">
      <c r="A216" s="75" t="s">
        <v>110</v>
      </c>
      <c r="B216" s="33" t="e">
        <f>TRIM(VLOOKUP(C216,Original!A:B,2,0))</f>
        <v>#N/A</v>
      </c>
      <c r="C216" s="34" t="s">
        <v>0</v>
      </c>
      <c r="D216" s="34"/>
      <c r="E216" s="35"/>
      <c r="F216" s="35"/>
      <c r="G216" s="35"/>
      <c r="H216" s="35"/>
      <c r="I216" s="35"/>
      <c r="J216" s="35"/>
      <c r="K216" s="35"/>
      <c r="L216" s="35"/>
      <c r="M216" s="33" t="e">
        <f>M$3</f>
        <v>#N/A</v>
      </c>
      <c r="N216" s="33" t="e">
        <f>_xlfn.CONCAT(A216,M216," a ","schema:AlignmentObject ;")</f>
        <v>#N/A</v>
      </c>
      <c r="O216" s="33" t="str">
        <f>""</f>
        <v/>
      </c>
      <c r="P216" s="76"/>
      <c r="Q216" s="9"/>
    </row>
    <row r="217" spans="1:17" ht="15" customHeight="1">
      <c r="A217" s="21" t="s">
        <v>111</v>
      </c>
      <c r="B217" s="22"/>
      <c r="C217" s="23"/>
      <c r="D217" s="23"/>
      <c r="E217" s="24"/>
      <c r="F217" s="24"/>
      <c r="G217" s="24"/>
      <c r="H217" s="24"/>
      <c r="I217" s="24"/>
      <c r="J217" s="24"/>
      <c r="K217" s="24"/>
      <c r="L217" s="24"/>
      <c r="M217" s="22" t="str">
        <f>_xlfn.CONCAT(B$1,"Zuordnung zum Curriculum",B$1)</f>
        <v>"Zuordnung zum Curriculum"</v>
      </c>
      <c r="N217" s="22" t="str">
        <f>""</f>
        <v/>
      </c>
      <c r="O217" s="22" t="str">
        <f>_xlfn.CONCAT(A217,M217," ;")</f>
        <v>schema:alignmentType "Zuordnung zum Curriculum" ;</v>
      </c>
      <c r="P217" s="63"/>
      <c r="Q217" s="9"/>
    </row>
    <row r="218" spans="1:17" ht="15" customHeight="1">
      <c r="A218" s="21" t="s">
        <v>115</v>
      </c>
      <c r="B218" s="22"/>
      <c r="C218" s="23"/>
      <c r="D218" s="23"/>
      <c r="E218" s="24"/>
      <c r="F218" s="24"/>
      <c r="G218" s="24"/>
      <c r="H218" s="24"/>
      <c r="I218" s="22"/>
      <c r="J218" s="24"/>
      <c r="K218" s="24"/>
      <c r="L218" s="24"/>
      <c r="M218" s="22" t="str">
        <f>_xlfn.CONCAT(B$1,"Studien- und Prüfungsordnung für den Bachelor-Studiengang Wirtschaftsinformatik [Business &amp; Information Systems Engineering B.Sc.] (SPO-BSc-WI-THB-2017) im Fachbereich Wirtschaft vom 15.02.2017, Anlage 1",B$1)</f>
        <v>"Studien- und Prüfungsordnung für den Bachelor-Studiengang Wirtschaftsinformatik [Business &amp; Information Systems Engineering B.Sc.] (SPO-BSc-WI-THB-2017) im Fachbereich Wirtschaft vom 15.02.2017, Anlage 1"</v>
      </c>
      <c r="N218" s="22" t="str">
        <f>""</f>
        <v/>
      </c>
      <c r="O218" s="22" t="str">
        <f>_xlfn.CONCAT(A218,M218," ;")</f>
        <v>schema:educationalFramework "Studien- und Prüfungsordnung für den Bachelor-Studiengang Wirtschaftsinformatik [Business &amp; Information Systems Engineering B.Sc.] (SPO-BSc-WI-THB-2017) im Fachbereich Wirtschaft vom 15.02.2017, Anlage 1" ;</v>
      </c>
      <c r="P218" s="63"/>
      <c r="Q218" s="9"/>
    </row>
    <row r="219" spans="1:17" ht="15" customHeight="1">
      <c r="A219" s="21" t="s">
        <v>114</v>
      </c>
      <c r="B219" s="22" t="e">
        <f>TRIM(VLOOKUP(C219,Original!A:B,2,0))</f>
        <v>#N/A</v>
      </c>
      <c r="C219" s="23" t="s">
        <v>4</v>
      </c>
      <c r="D219" s="23" t="e">
        <f>TRIM(LEFT(B219,SEARCH(",",B219)-1))</f>
        <v>#N/A</v>
      </c>
      <c r="E219" s="24" t="str">
        <f>IF(ISERROR(FIND("ransfer",_xlfn.CONCAT(G219:J219))&gt;0),"",1)</f>
        <v/>
      </c>
      <c r="F219" s="24"/>
      <c r="G219" s="24" t="e">
        <f>MID(B219,1,LEN(B219)-LEN(J219)-2)</f>
        <v>#N/A</v>
      </c>
      <c r="H219" s="24" t="str">
        <f>IF(ISERROR(MID(G219,1,LEN(G219)-LEN(I219)-2)),"",MID(G219,1,LEN(G219)-LEN(I219)-2))</f>
        <v/>
      </c>
      <c r="I219" s="24" t="e" cm="1">
        <f t="array" ref="I219">MID(G219,MAX((MID(G219,COLUMN(211:211), 1)=" ")*COLUMN(211:211))+1,999)</f>
        <v>#N/A</v>
      </c>
      <c r="J219" s="24" t="e" cm="1">
        <f t="array" ref="J219">MID(B219,MAX((MID(B219,COLUMN(211:211), 1)=" ")*COLUMN(211:211))+1,999)</f>
        <v>#N/A</v>
      </c>
      <c r="K219" s="24"/>
      <c r="L219" s="24"/>
      <c r="M219" s="22" t="e">
        <f>IF(ISNUMBER(E219),_xlfn.CONCAT(B$1,D219,", Transfermodul",B$1),_xlfn.CONCAT(B$1,D219,B$1))</f>
        <v>#N/A</v>
      </c>
      <c r="N219" s="22" t="str">
        <f>""</f>
        <v/>
      </c>
      <c r="O219" s="22" t="e">
        <f>_xlfn.CONCAT(A219,M219," ;")</f>
        <v>#N/A</v>
      </c>
      <c r="P219" s="63"/>
      <c r="Q219" s="9"/>
    </row>
    <row r="220" spans="1:17" ht="15" customHeight="1">
      <c r="A220" s="21" t="s">
        <v>113</v>
      </c>
      <c r="B220" s="22" t="e">
        <f>TRIM(VLOOKUP(C220,Original!A:B,2,0))</f>
        <v>#N/A</v>
      </c>
      <c r="C220" s="23" t="s">
        <v>4</v>
      </c>
      <c r="D220" s="23" t="e">
        <f>IF(FIND("WI Ba",B220),"Wirtschaftsinformatik Bachelor")</f>
        <v>#N/A</v>
      </c>
      <c r="E220" s="23"/>
      <c r="F220" s="23"/>
      <c r="G220" s="24"/>
      <c r="H220" s="24"/>
      <c r="I220" s="24"/>
      <c r="J220" s="24" t="str">
        <f>IF(ISERROR(FIND("transfer",_xlfn.CONCAT(D220:I220))&gt;0),"",1)</f>
        <v/>
      </c>
      <c r="K220" s="24"/>
      <c r="L220" s="24"/>
      <c r="M220" s="22" t="e">
        <f>IF(ISNUMBER(E219),_xlfn.CONCAT(B$1,D220,", Duales Transfermodul",B$1),_xlfn.CONCAT(B$1,D220,B$1))</f>
        <v>#N/A</v>
      </c>
      <c r="N220" s="22" t="str">
        <f>""</f>
        <v/>
      </c>
      <c r="O220" s="22" t="e">
        <f>_xlfn.CONCAT(A220,M220," ;")</f>
        <v>#N/A</v>
      </c>
      <c r="P220" s="63"/>
      <c r="Q220" s="9"/>
    </row>
    <row r="221" spans="1:17" ht="15" customHeight="1">
      <c r="A221" s="77" t="s">
        <v>112</v>
      </c>
      <c r="B221" s="78"/>
      <c r="C221" s="79"/>
      <c r="D221" s="79"/>
      <c r="E221" s="80"/>
      <c r="F221" s="93"/>
      <c r="G221" s="80"/>
      <c r="H221" s="80"/>
      <c r="I221" s="80"/>
      <c r="J221" s="80"/>
      <c r="K221" s="80"/>
      <c r="L221" s="80"/>
      <c r="M221" s="78" t="str">
        <f>_xlfn.CONCAT(B$1,"https://www.th-brandenburg.de/fileadmin/user_upload/hochschule/Dateien/Amtliche-Mitteilungen/2017/2017-11-SPO-BSc-WI.pdf",B$1)</f>
        <v>"https://www.th-brandenburg.de/fileadmin/user_upload/hochschule/Dateien/Amtliche-Mitteilungen/2017/2017-11-SPO-BSc-WI.pdf"</v>
      </c>
      <c r="N221" s="78" t="str">
        <f>""</f>
        <v/>
      </c>
      <c r="O221" s="78" t="str">
        <f>_xlfn.CONCAT(A221,M221," .")</f>
        <v>schema:targetURL "https://www.th-brandenburg.de/fileadmin/user_upload/hochschule/Dateien/Amtliche-Mitteilungen/2017/2017-11-SPO-BSc-WI.pdf" .</v>
      </c>
      <c r="P221" s="138"/>
      <c r="Q221" s="9"/>
    </row>
    <row r="222" spans="1:17">
      <c r="A222" s="21"/>
      <c r="B222" s="22"/>
      <c r="C222" s="23"/>
      <c r="D222" s="23"/>
      <c r="E222" s="24"/>
      <c r="F222" s="24"/>
      <c r="G222" s="24"/>
      <c r="H222" s="24"/>
      <c r="I222" s="24"/>
      <c r="J222" s="24"/>
      <c r="K222" s="24"/>
      <c r="L222" s="24"/>
      <c r="M222" s="22"/>
      <c r="N222" s="22"/>
      <c r="O222" s="22"/>
      <c r="P222" s="22"/>
    </row>
    <row r="223" spans="1:17" ht="15" customHeight="1">
      <c r="A223" s="75" t="s">
        <v>116</v>
      </c>
      <c r="B223" s="33"/>
      <c r="C223" s="34"/>
      <c r="D223" s="34"/>
      <c r="E223" s="35"/>
      <c r="F223" s="35"/>
      <c r="G223" s="35"/>
      <c r="H223" s="35"/>
      <c r="I223" s="35"/>
      <c r="J223" s="35"/>
      <c r="K223" s="35"/>
      <c r="L223" s="35"/>
      <c r="M223" s="33" t="e">
        <f>M$3</f>
        <v>#N/A</v>
      </c>
      <c r="N223" s="33" t="e">
        <f>_xlfn.CONCAT(A223,M223," a ","schema:AlignmentObject ;")</f>
        <v>#N/A</v>
      </c>
      <c r="O223" s="33" t="str">
        <f>""</f>
        <v/>
      </c>
      <c r="P223" s="33"/>
    </row>
    <row r="224" spans="1:17" ht="15" customHeight="1">
      <c r="A224" s="21" t="s">
        <v>111</v>
      </c>
      <c r="B224" s="22"/>
      <c r="C224" s="23"/>
      <c r="D224" s="23"/>
      <c r="E224" s="24"/>
      <c r="F224" s="24"/>
      <c r="G224" s="24"/>
      <c r="H224" s="24"/>
      <c r="I224" s="24"/>
      <c r="J224" s="24"/>
      <c r="K224" s="24"/>
      <c r="L224" s="24"/>
      <c r="M224" s="22" t="str">
        <f>_xlfn.CONCAT(B$1,"Modultyp",B$1)</f>
        <v>"Modultyp"</v>
      </c>
      <c r="N224" s="22" t="str">
        <f>""</f>
        <v/>
      </c>
      <c r="O224" s="22" t="str">
        <f>_xlfn.CONCAT(A224,M224," ;")</f>
        <v>schema:alignmentType "Modultyp" ;</v>
      </c>
      <c r="P224" s="22"/>
    </row>
    <row r="225" spans="1:16" ht="15" customHeight="1">
      <c r="A225" s="21" t="s">
        <v>115</v>
      </c>
      <c r="B225" s="22"/>
      <c r="C225" s="23"/>
      <c r="D225" s="23"/>
      <c r="E225" s="24"/>
      <c r="F225" s="24"/>
      <c r="G225" s="24"/>
      <c r="H225" s="24"/>
      <c r="I225" s="22"/>
      <c r="J225" s="24"/>
      <c r="K225" s="24"/>
      <c r="L225" s="24"/>
      <c r="M225" s="22" t="str">
        <f>_xlfn.CONCAT(B$1,"Studien- und Prüfungsordnung für den Bachelor-Studiengang Wirtschaftsinformatik [Business &amp; Information Systems Engineering B.Sc.] (SPO-BSc-WI-THB-2017) im Fachbereich Wirtschaft vom 15.02.2017, Anlage 1",B$1)</f>
        <v>"Studien- und Prüfungsordnung für den Bachelor-Studiengang Wirtschaftsinformatik [Business &amp; Information Systems Engineering B.Sc.] (SPO-BSc-WI-THB-2017) im Fachbereich Wirtschaft vom 15.02.2017, Anlage 1"</v>
      </c>
      <c r="N225" s="22" t="str">
        <f>""</f>
        <v/>
      </c>
      <c r="O225" s="22" t="str">
        <f>_xlfn.CONCAT(A225,M225," ;")</f>
        <v>schema:educationalFramework "Studien- und Prüfungsordnung für den Bachelor-Studiengang Wirtschaftsinformatik [Business &amp; Information Systems Engineering B.Sc.] (SPO-BSc-WI-THB-2017) im Fachbereich Wirtschaft vom 15.02.2017, Anlage 1" ;</v>
      </c>
      <c r="P225" s="22"/>
    </row>
    <row r="226" spans="1:16" ht="15" customHeight="1">
      <c r="A226" s="21" t="s">
        <v>114</v>
      </c>
      <c r="B226" s="22" t="e">
        <f>TRIM(VLOOKUP(C226,Original!A:B,2,0))</f>
        <v>#N/A</v>
      </c>
      <c r="C226" s="23" t="s">
        <v>4</v>
      </c>
      <c r="D226" s="23" t="str">
        <f>IF(ISERROR(FIND("Wahl",B226)),"Pflichtmodul","Wahlpflichtmodul")</f>
        <v>Pflichtmodul</v>
      </c>
      <c r="E226" s="24"/>
      <c r="F226" s="24"/>
      <c r="G226" s="24"/>
      <c r="H226" s="24"/>
      <c r="I226" s="24"/>
      <c r="J226" s="24"/>
      <c r="K226" s="24"/>
      <c r="L226" s="24"/>
      <c r="M226" s="22" t="str">
        <f>_xlfn.CONCAT(B$1,D226,B$1)</f>
        <v>"Pflichtmodul"</v>
      </c>
      <c r="N226" s="22" t="str">
        <f>""</f>
        <v/>
      </c>
      <c r="O226" s="22" t="str">
        <f>_xlfn.CONCAT(A226,M226," ;")</f>
        <v>schema:targetName "Pflichtmodul" ;</v>
      </c>
      <c r="P226" s="22"/>
    </row>
    <row r="227" spans="1:16" ht="15" customHeight="1">
      <c r="A227" s="21" t="s">
        <v>113</v>
      </c>
      <c r="B227" s="22" t="e">
        <f>TRIM(VLOOKUP(C227,Original!A:B,2,0))</f>
        <v>#N/A</v>
      </c>
      <c r="C227" s="23" t="s">
        <v>4</v>
      </c>
      <c r="D227" s="23" t="e">
        <f>IF(FIND("WI Ba",B227),"Wirtschaftsinformatik Bachelor")</f>
        <v>#N/A</v>
      </c>
      <c r="E227" s="23"/>
      <c r="F227" s="23"/>
      <c r="G227" s="24"/>
      <c r="H227" s="24"/>
      <c r="I227" s="24"/>
      <c r="J227" s="24" t="str">
        <f>IF(ISERROR(FIND("transfer",_xlfn.CONCAT(D227:I227))&gt;0),"",1)</f>
        <v/>
      </c>
      <c r="K227" s="24"/>
      <c r="L227" s="24"/>
      <c r="M227" s="22" t="str">
        <f>_xlfn.CONCAT(B$1,D228,B$1)</f>
        <v>"muss von allen Studierenden belegt und absolviert werden"</v>
      </c>
      <c r="N227" s="22" t="str">
        <f>""</f>
        <v/>
      </c>
      <c r="O227" s="22" t="str">
        <f>_xlfn.CONCAT(A227,M227," ;")</f>
        <v>schema:targetDescription "muss von allen Studierenden belegt und absolviert werden" ;</v>
      </c>
      <c r="P227" s="22"/>
    </row>
    <row r="228" spans="1:16" ht="15" customHeight="1">
      <c r="A228" s="77" t="s">
        <v>112</v>
      </c>
      <c r="B228" s="78" t="e">
        <f>TRIM(VLOOKUP(C228,Original!A:B,2,0))</f>
        <v>#N/A</v>
      </c>
      <c r="C228" s="79" t="s">
        <v>4</v>
      </c>
      <c r="D228" s="79" t="str">
        <f>IF(ISERROR(FIND("Wahl",B228)),E228,F228)</f>
        <v>muss von allen Studierenden belegt und absolviert werden</v>
      </c>
      <c r="E228" s="79" t="s">
        <v>203</v>
      </c>
      <c r="F228" s="128" t="s">
        <v>204</v>
      </c>
      <c r="G228" s="80"/>
      <c r="H228" s="80"/>
      <c r="I228" s="80"/>
      <c r="J228" s="80"/>
      <c r="K228" s="80"/>
      <c r="L228" s="80"/>
      <c r="M228" s="78" t="str">
        <f>_xlfn.CONCAT(B$1,"https://www.th-brandenburg.de/fileadmin/user_upload/hochschule/Dateien/Amtliche-Mitteilungen/2017/2017-11-SPO-BSc-WI.pdf",B$1)</f>
        <v>"https://www.th-brandenburg.de/fileadmin/user_upload/hochschule/Dateien/Amtliche-Mitteilungen/2017/2017-11-SPO-BSc-WI.pdf"</v>
      </c>
      <c r="N228" s="78" t="str">
        <f>""</f>
        <v/>
      </c>
      <c r="O228" s="78" t="str">
        <f>_xlfn.CONCAT(A228,M228," .")</f>
        <v>schema:targetURL "https://www.th-brandenburg.de/fileadmin/user_upload/hochschule/Dateien/Amtliche-Mitteilungen/2017/2017-11-SPO-BSc-WI.pdf" .</v>
      </c>
      <c r="P228" s="78"/>
    </row>
    <row r="229" spans="1:16">
      <c r="A229" s="21"/>
      <c r="B229" s="22"/>
      <c r="C229" s="23"/>
      <c r="D229" s="23"/>
      <c r="E229" s="24"/>
      <c r="F229" s="24"/>
      <c r="G229" s="24"/>
      <c r="H229" s="24"/>
      <c r="I229" s="24"/>
      <c r="J229" s="24"/>
      <c r="K229" s="24"/>
      <c r="L229" s="24"/>
      <c r="M229" s="22"/>
      <c r="N229" s="22"/>
      <c r="O229" s="22"/>
      <c r="P229" s="22"/>
    </row>
    <row r="230" spans="1:16" ht="15" customHeight="1">
      <c r="A230" s="75" t="s">
        <v>117</v>
      </c>
      <c r="B230" s="33"/>
      <c r="C230" s="34"/>
      <c r="D230" s="34"/>
      <c r="E230" s="35"/>
      <c r="F230" s="35"/>
      <c r="G230" s="35"/>
      <c r="H230" s="35"/>
      <c r="I230" s="35"/>
      <c r="J230" s="35"/>
      <c r="K230" s="35"/>
      <c r="L230" s="35"/>
      <c r="M230" s="33" t="e">
        <f>M$3</f>
        <v>#N/A</v>
      </c>
      <c r="N230" s="33" t="e">
        <f>_xlfn.CONCAT(A230,M230," a ","schema:AlignmentObject ;")</f>
        <v>#N/A</v>
      </c>
      <c r="O230" s="33" t="str">
        <f>""</f>
        <v/>
      </c>
      <c r="P230" s="33"/>
    </row>
    <row r="231" spans="1:16" ht="15" customHeight="1">
      <c r="A231" s="21" t="s">
        <v>111</v>
      </c>
      <c r="B231" s="22"/>
      <c r="C231" s="23"/>
      <c r="D231" s="23"/>
      <c r="E231" s="24"/>
      <c r="F231" s="24"/>
      <c r="G231" s="24"/>
      <c r="H231" s="24"/>
      <c r="I231" s="24"/>
      <c r="J231" s="24"/>
      <c r="K231" s="24"/>
      <c r="L231" s="24"/>
      <c r="M231" s="22" t="str">
        <f>_xlfn.CONCAT(B$1,"SWS",B$1)</f>
        <v>"SWS"</v>
      </c>
      <c r="N231" s="22" t="str">
        <f>""</f>
        <v/>
      </c>
      <c r="O231" s="22" t="str">
        <f>_xlfn.CONCAT(A231,M231," ;")</f>
        <v>schema:alignmentType "SWS" ;</v>
      </c>
      <c r="P231" s="22"/>
    </row>
    <row r="232" spans="1:16" ht="15" customHeight="1">
      <c r="A232" s="21" t="s">
        <v>115</v>
      </c>
      <c r="B232" s="22"/>
      <c r="C232" s="23"/>
      <c r="D232" s="23"/>
      <c r="E232" s="24"/>
      <c r="F232" s="24"/>
      <c r="G232" s="24"/>
      <c r="H232" s="24"/>
      <c r="I232" s="22"/>
      <c r="J232" s="24"/>
      <c r="K232" s="24"/>
      <c r="L232" s="24"/>
      <c r="M232" s="22" t="str">
        <f>_xlfn.CONCAT(B$1,"Studien- und Prüfungsordnung für den Bachelor-Studiengang Wirtschaftsinformatik [Business &amp; Information Systems Engineering B.Sc.] (SPO-BSc-WI-THB-2017) im Fachbereich Wirtschaft vom 15.02.2017, Anlage 1",B$1)</f>
        <v>"Studien- und Prüfungsordnung für den Bachelor-Studiengang Wirtschaftsinformatik [Business &amp; Information Systems Engineering B.Sc.] (SPO-BSc-WI-THB-2017) im Fachbereich Wirtschaft vom 15.02.2017, Anlage 1"</v>
      </c>
      <c r="N232" s="22" t="str">
        <f>""</f>
        <v/>
      </c>
      <c r="O232" s="22" t="str">
        <f>_xlfn.CONCAT(A232,M232," ;")</f>
        <v>schema:educationalFramework "Studien- und Prüfungsordnung für den Bachelor-Studiengang Wirtschaftsinformatik [Business &amp; Information Systems Engineering B.Sc.] (SPO-BSc-WI-THB-2017) im Fachbereich Wirtschaft vom 15.02.2017, Anlage 1" ;</v>
      </c>
      <c r="P232" s="22"/>
    </row>
    <row r="233" spans="1:16" ht="46.5">
      <c r="A233" s="21" t="s">
        <v>114</v>
      </c>
      <c r="B233" s="38" t="e">
        <f>TRIM(VLOOKUP(C233,Original!A:B,2,FALSE))</f>
        <v>#N/A</v>
      </c>
      <c r="C233" s="23" t="s">
        <v>11</v>
      </c>
      <c r="D233" s="129" t="e" cm="1">
        <f t="array" ref="D233">IF(ISERROR(FIND(I233,INDEX(Original!$B:$B,MATCH(B233,Original!$B:$B,0)+1))),INDEX(Original!$B:$B,MATCH(B233,Original!$B:$B,0)+1),1)</f>
        <v>#N/A</v>
      </c>
      <c r="E233" s="24" t="e" cm="1">
        <f t="array" ref="E233">IF(D233=1,1,IF(ISERROR(FIND(I233,INDEX(Original!$B:$B,MATCH(B233,Original!$B:$B,0)+2))),INDEX(Original!$B:$B,MATCH(B233,Original!$B:$B,0)+2),1))</f>
        <v>#N/A</v>
      </c>
      <c r="F233" s="23" t="e">
        <f>_xlfn.CONCAT(B233," # ",D233," # ",E233)</f>
        <v>#N/A</v>
      </c>
      <c r="G233" s="24" t="e">
        <f>TRIM(SUBSTITUTE(MID(F233,FIND("Summe:",F233),55),"Summe:",""))</f>
        <v>#N/A</v>
      </c>
      <c r="H233" s="24" t="s">
        <v>205</v>
      </c>
      <c r="I233" s="24" t="e">
        <f>VLOOKUP(J233,Original!$A:$B,2,0)</f>
        <v>#N/A</v>
      </c>
      <c r="J233" s="23" t="s">
        <v>12</v>
      </c>
      <c r="K233" s="23" t="s">
        <v>209</v>
      </c>
      <c r="L233" s="23" t="e">
        <f>IF(ISNA(IF(AND(D233=1,H233=B233),K233,IF(ISTEXT(D233),G233,B233))),B233,IF(AND(D233=1,H233=B233),K233,IF(ISTEXT(D233),G233,B233)))</f>
        <v>#N/A</v>
      </c>
      <c r="M233" s="22" t="e">
        <f>_xlfn.CONCAT(B$1,L233,B$1)</f>
        <v>#N/A</v>
      </c>
      <c r="N233" s="22" t="str">
        <f>""</f>
        <v/>
      </c>
      <c r="O233" s="22" t="e">
        <f>_xlfn.CONCAT(A233,M233," ;")</f>
        <v>#N/A</v>
      </c>
      <c r="P233" s="22"/>
    </row>
    <row r="234" spans="1:16" ht="15" customHeight="1">
      <c r="A234" s="21" t="s">
        <v>113</v>
      </c>
      <c r="B234" s="22" t="e">
        <f>TRIM(VLOOKUP(C234,Original!A:B,2,0))</f>
        <v>#N/A</v>
      </c>
      <c r="C234" s="23" t="s">
        <v>4</v>
      </c>
      <c r="D234" s="23"/>
      <c r="E234" s="23"/>
      <c r="F234" s="23"/>
      <c r="G234" s="24"/>
      <c r="H234" s="24"/>
      <c r="I234" s="24"/>
      <c r="J234" s="24"/>
      <c r="K234" s="24"/>
      <c r="L234" s="24"/>
      <c r="M234" s="22" t="str">
        <f>_xlfn.CONCAT(B$1,"Umfang des Moduls in Semesterwochenstunden",B$1)</f>
        <v>"Umfang des Moduls in Semesterwochenstunden"</v>
      </c>
      <c r="N234" s="22" t="str">
        <f>""</f>
        <v/>
      </c>
      <c r="O234" s="22" t="str">
        <f>_xlfn.CONCAT(A234,M234," ;")</f>
        <v>schema:targetDescription "Umfang des Moduls in Semesterwochenstunden" ;</v>
      </c>
      <c r="P234" s="22"/>
    </row>
    <row r="235" spans="1:16" ht="15" customHeight="1">
      <c r="A235" s="77" t="s">
        <v>112</v>
      </c>
      <c r="B235" s="78"/>
      <c r="C235" s="79"/>
      <c r="D235" s="79"/>
      <c r="E235" s="80"/>
      <c r="F235" s="93"/>
      <c r="G235" s="80"/>
      <c r="H235" s="80"/>
      <c r="I235" s="80"/>
      <c r="J235" s="80"/>
      <c r="K235" s="80"/>
      <c r="L235" s="80"/>
      <c r="M235" s="78" t="str">
        <f>_xlfn.CONCAT(B$1,"https://www.th-brandenburg.de/fileadmin/user_upload/hochschule/Dateien/Amtliche-Mitteilungen/2017/2017-11-SPO-BSc-WI.pdf",B$1)</f>
        <v>"https://www.th-brandenburg.de/fileadmin/user_upload/hochschule/Dateien/Amtliche-Mitteilungen/2017/2017-11-SPO-BSc-WI.pdf"</v>
      </c>
      <c r="N235" s="78" t="str">
        <f>""</f>
        <v/>
      </c>
      <c r="O235" s="78" t="str">
        <f>_xlfn.CONCAT(A235,M235," .")</f>
        <v>schema:targetURL "https://www.th-brandenburg.de/fileadmin/user_upload/hochschule/Dateien/Amtliche-Mitteilungen/2017/2017-11-SPO-BSc-WI.pdf" .</v>
      </c>
      <c r="P235" s="78"/>
    </row>
    <row r="236" spans="1:16">
      <c r="A236" s="21"/>
      <c r="B236" s="22"/>
      <c r="C236" s="23"/>
      <c r="D236" s="23"/>
      <c r="E236" s="24"/>
      <c r="F236" s="24"/>
      <c r="G236" s="24"/>
      <c r="H236" s="24"/>
      <c r="I236" s="24"/>
      <c r="J236" s="24"/>
      <c r="K236" s="24"/>
      <c r="L236" s="24"/>
      <c r="M236" s="22"/>
      <c r="N236" s="22"/>
      <c r="O236" s="22"/>
      <c r="P236" s="22"/>
    </row>
    <row r="237" spans="1:16" ht="15" customHeight="1">
      <c r="A237" s="75" t="s">
        <v>200</v>
      </c>
      <c r="B237" s="33"/>
      <c r="C237" s="34"/>
      <c r="D237" s="34"/>
      <c r="E237" s="35"/>
      <c r="F237" s="35"/>
      <c r="G237" s="35"/>
      <c r="H237" s="35"/>
      <c r="I237" s="35"/>
      <c r="J237" s="35"/>
      <c r="K237" s="35"/>
      <c r="L237" s="35"/>
      <c r="M237" s="33" t="e">
        <f>M$3</f>
        <v>#N/A</v>
      </c>
      <c r="N237" s="33" t="e">
        <f>_xlfn.CONCAT(A237,M237," a ","schema:AlignmentObject ;")</f>
        <v>#N/A</v>
      </c>
      <c r="O237" s="33" t="str">
        <f>""</f>
        <v/>
      </c>
      <c r="P237" s="33"/>
    </row>
    <row r="238" spans="1:16" ht="15" customHeight="1">
      <c r="A238" s="21" t="s">
        <v>111</v>
      </c>
      <c r="B238" s="22"/>
      <c r="C238" s="23"/>
      <c r="D238" s="23"/>
      <c r="E238" s="24"/>
      <c r="F238" s="24"/>
      <c r="G238" s="24"/>
      <c r="H238" s="24"/>
      <c r="I238" s="24"/>
      <c r="J238" s="24"/>
      <c r="K238" s="24"/>
      <c r="L238" s="24"/>
      <c r="M238" s="22" t="str">
        <f>_xlfn.CONCAT(B$1,"Gewichtung der Note",B$1)</f>
        <v>"Gewichtung der Note"</v>
      </c>
      <c r="N238" s="22" t="str">
        <f>""</f>
        <v/>
      </c>
      <c r="O238" s="22" t="str">
        <f>_xlfn.CONCAT(A238,M238," ;")</f>
        <v>schema:alignmentType "Gewichtung der Note" ;</v>
      </c>
      <c r="P238" s="22"/>
    </row>
    <row r="239" spans="1:16" ht="15" customHeight="1">
      <c r="A239" s="21" t="s">
        <v>115</v>
      </c>
      <c r="B239" s="22"/>
      <c r="C239" s="23"/>
      <c r="D239" s="23"/>
      <c r="E239" s="24"/>
      <c r="F239" s="24"/>
      <c r="G239" s="24"/>
      <c r="H239" s="24"/>
      <c r="I239" s="22"/>
      <c r="J239" s="24"/>
      <c r="K239" s="24"/>
      <c r="L239" s="24"/>
      <c r="M239" s="22" t="str">
        <f>_xlfn.CONCAT(B$1,"Studien- und Prüfungsordnung für den Bachelor-Studiengang Wirtschaftsinformatik [Business &amp; Information Systems Engineering B.Sc.] (SPO-BSc-WI-THB-2017) im Fachbereich Wirtschaft vom 15.02.2017, § 13",B$1)</f>
        <v>"Studien- und Prüfungsordnung für den Bachelor-Studiengang Wirtschaftsinformatik [Business &amp; Information Systems Engineering B.Sc.] (SPO-BSc-WI-THB-2017) im Fachbereich Wirtschaft vom 15.02.2017, § 13"</v>
      </c>
      <c r="N239" s="22" t="str">
        <f>""</f>
        <v/>
      </c>
      <c r="O239" s="22" t="str">
        <f>_xlfn.CONCAT(A239,M239," ;")</f>
        <v>schema:educationalFramework "Studien- und Prüfungsordnung für den Bachelor-Studiengang Wirtschaftsinformatik [Business &amp; Information Systems Engineering B.Sc.] (SPO-BSc-WI-THB-2017) im Fachbereich Wirtschaft vom 15.02.2017, § 13" ;</v>
      </c>
      <c r="P239" s="22"/>
    </row>
    <row r="240" spans="1:16" ht="14" customHeight="1">
      <c r="A240" s="21" t="s">
        <v>114</v>
      </c>
      <c r="B240" s="22" t="e">
        <f>VLOOKUP(C240,Original!A:B,2,0)</f>
        <v>#N/A</v>
      </c>
      <c r="C240" s="23" t="s">
        <v>13</v>
      </c>
      <c r="D240" s="129" t="e" cm="1">
        <f t="array" ref="D240">IF(ISERROR(FIND(I240,INDEX(Original!$B:$B,MATCH(B240,Original!$B:$B,0)+1))),INDEX(Original!$B:$B,MATCH(B240,Original!$B:$B,0)+1),1)</f>
        <v>#N/A</v>
      </c>
      <c r="E240" s="24" t="e" cm="1">
        <f t="array" ref="E240">IF(D240=1,1,IF(ISERROR(FIND(I240,INDEX(Original!$B:$B,MATCH(B240,Original!$B:$B,0)+2))),INDEX(Original!$B:$B,MATCH(B240,Original!$B:$B,0)+2),1))</f>
        <v>#N/A</v>
      </c>
      <c r="F240" s="24" t="e" cm="1">
        <f t="array" ref="F240">IF(E240=1,1,IF(ISERROR(FIND(I240,INDEX(Original!$B:$B,MATCH(B240,Original!$B:$B,0)+3))),INDEX(Original!$B:$B,MATCH(B240,Original!$B:$B,0)+3),1))</f>
        <v>#N/A</v>
      </c>
      <c r="G240" s="23" t="e" cm="1">
        <f t="array" ref="G240">IF(F240=1,1,IF(ISERROR(FIND(I240,INDEX(Original!$B:$B,MATCH(B240,Original!$B:$B,0)+4))),INDEX(Original!$B:$B,MATCH(B240,Original!$B:$B,0)+4),1))</f>
        <v>#N/A</v>
      </c>
      <c r="H240" s="24" t="e" cm="1">
        <f t="array" ref="H240">IF(G240=1,1,IF(ISERROR(FIND(I240,INDEX(Original!$B:$B,MATCH(B240,Original!$B:$B,0)+5))),INDEX(Original!$B:$B,MATCH(B240,Original!$B:$B,0)+5),1))</f>
        <v>#N/A</v>
      </c>
      <c r="I240" s="23" t="e">
        <f>VLOOKUP(J240,Original!$A:$B,2,0)</f>
        <v>#N/A</v>
      </c>
      <c r="J240" s="89" t="s">
        <v>14</v>
      </c>
      <c r="K240" s="89"/>
      <c r="L240" s="89"/>
      <c r="M240" s="22" t="e" cm="1">
        <f t="array" ref="M240">IF(B240=0,"",TRIM(LEFT(_xlfn.CONCAT(B240,D240:H240),SUM(LEN(B240),LEN(D240:H240))-SUM(D240:H240))))</f>
        <v>#N/A</v>
      </c>
      <c r="N240" s="22" t="str">
        <f>""</f>
        <v/>
      </c>
      <c r="O240" s="22" t="e">
        <f>SUBSTITUTE(_xlfn.CONCAT(A240,B$1,M240,B$1,";"),";","; ")</f>
        <v>#N/A</v>
      </c>
      <c r="P240" s="22"/>
    </row>
    <row r="241" spans="1:16" ht="15" customHeight="1">
      <c r="A241" s="21" t="s">
        <v>113</v>
      </c>
      <c r="B241" s="22" t="e">
        <f>TRIM(VLOOKUP(C241,Original!A:B,2,0))</f>
        <v>#N/A</v>
      </c>
      <c r="C241" s="23" t="s">
        <v>4</v>
      </c>
      <c r="D241" s="23" t="e">
        <f>IF(FIND("WI Ba",B241),"Wirtschaftsinformatik Bachelor")</f>
        <v>#N/A</v>
      </c>
      <c r="E241" s="23"/>
      <c r="F241" s="23"/>
      <c r="G241" s="24"/>
      <c r="H241" s="24"/>
      <c r="I241" s="24"/>
      <c r="J241" s="24" t="str">
        <f>IF(ISERROR(FIND("transfer",_xlfn.CONCAT(D241:I241))&gt;0),"",1)</f>
        <v/>
      </c>
      <c r="K241" s="24"/>
      <c r="L241" s="24"/>
      <c r="M241" s="22" t="str">
        <f>_xlfn.CONCAT(B$1,"Gewichtungsanteile der Note im Hinblick auf die spezifische Fachnote (1/3), den Mittelwert aller Fachnoten (3,33 %) sowie die Abschlussnote (2,67 %)",B$1)</f>
        <v>"Gewichtungsanteile der Note im Hinblick auf die spezifische Fachnote (1/3), den Mittelwert aller Fachnoten (3,33 %) sowie die Abschlussnote (2,67 %)"</v>
      </c>
      <c r="N241" s="22" t="str">
        <f>""</f>
        <v/>
      </c>
      <c r="O241" s="22" t="str">
        <f>_xlfn.CONCAT(A241,M241," ;")</f>
        <v>schema:targetDescription "Gewichtungsanteile der Note im Hinblick auf die spezifische Fachnote (1/3), den Mittelwert aller Fachnoten (3,33 %) sowie die Abschlussnote (2,67 %)" ;</v>
      </c>
      <c r="P241" s="22"/>
    </row>
    <row r="242" spans="1:16" ht="15" customHeight="1">
      <c r="A242" s="27" t="s">
        <v>112</v>
      </c>
      <c r="B242" s="28"/>
      <c r="C242" s="54"/>
      <c r="D242" s="54"/>
      <c r="E242" s="29"/>
      <c r="F242" s="94"/>
      <c r="G242" s="29"/>
      <c r="H242" s="29"/>
      <c r="I242" s="29"/>
      <c r="J242" s="29"/>
      <c r="K242" s="29"/>
      <c r="L242" s="29"/>
      <c r="M242" s="28" t="str">
        <f>_xlfn.CONCAT(B$1,"https://www.th-brandenburg.de/fileadmin/user_upload/hochschule/Dateien/Amtliche-Mitteilungen/2017/2017-11-SPO-BSc-WI.pdf",B$1)</f>
        <v>"https://www.th-brandenburg.de/fileadmin/user_upload/hochschule/Dateien/Amtliche-Mitteilungen/2017/2017-11-SPO-BSc-WI.pdf"</v>
      </c>
      <c r="N242" s="28" t="str">
        <f>""</f>
        <v/>
      </c>
      <c r="O242" s="28" t="str">
        <f>_xlfn.CONCAT(A242,M242," .")</f>
        <v>schema:targetURL "https://www.th-brandenburg.de/fileadmin/user_upload/hochschule/Dateien/Amtliche-Mitteilungen/2017/2017-11-SPO-BSc-WI.pdf" .</v>
      </c>
      <c r="P242" s="55"/>
    </row>
  </sheetData>
  <mergeCells count="11">
    <mergeCell ref="P182:P205"/>
    <mergeCell ref="D2:J2"/>
    <mergeCell ref="D40:J40"/>
    <mergeCell ref="D152:J152"/>
    <mergeCell ref="R1:S3"/>
    <mergeCell ref="D180:J180"/>
    <mergeCell ref="D87:J87"/>
    <mergeCell ref="D114:J114"/>
    <mergeCell ref="D119:J119"/>
    <mergeCell ref="D147:J147"/>
    <mergeCell ref="Q1:Q2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810FA-D297-5D4F-8F94-C8C93C195A6B}">
  <sheetPr codeName="Tabelle3"/>
  <dimension ref="A1:G207"/>
  <sheetViews>
    <sheetView zoomScaleNormal="100" workbookViewId="0">
      <pane ySplit="5" topLeftCell="A6" activePane="bottomLeft" state="frozen"/>
      <selection pane="bottomLeft" activeCell="A7" sqref="A7:B207"/>
    </sheetView>
  </sheetViews>
  <sheetFormatPr baseColWidth="10" defaultRowHeight="15.5"/>
  <cols>
    <col min="1" max="1" width="54.6640625" customWidth="1"/>
    <col min="2" max="2" width="148.5" style="5" customWidth="1"/>
    <col min="7" max="7" width="10.83203125" customWidth="1"/>
  </cols>
  <sheetData>
    <row r="1" spans="1:7">
      <c r="A1" s="216" t="s">
        <v>47</v>
      </c>
      <c r="B1" s="216"/>
    </row>
    <row r="2" spans="1:7">
      <c r="A2" s="208" t="s">
        <v>44</v>
      </c>
      <c r="B2" s="208"/>
    </row>
    <row r="3" spans="1:7" ht="17" customHeight="1">
      <c r="A3" s="209" t="s">
        <v>61</v>
      </c>
      <c r="B3" s="209"/>
    </row>
    <row r="4" spans="1:7">
      <c r="A4" s="210" t="s">
        <v>45</v>
      </c>
      <c r="B4" s="210"/>
    </row>
    <row r="5" spans="1:7">
      <c r="A5" s="211" t="s">
        <v>46</v>
      </c>
      <c r="B5" s="211"/>
    </row>
    <row r="6" spans="1:7" s="1" customFormat="1" ht="15" customHeight="1">
      <c r="A6" s="214"/>
      <c r="B6" s="215"/>
      <c r="C6" s="30"/>
      <c r="D6"/>
      <c r="E6"/>
      <c r="F6"/>
      <c r="G6"/>
    </row>
    <row r="7" spans="1:7" s="1" customFormat="1" ht="15" customHeight="1">
      <c r="A7" s="214" t="str">
        <f>"@prefix schema: &lt;https://schema.org/&gt; ."</f>
        <v>@prefix schema: &lt;https://schema.org/&gt; .</v>
      </c>
      <c r="B7" s="217"/>
      <c r="C7"/>
      <c r="D7"/>
      <c r="E7"/>
      <c r="F7"/>
      <c r="G7"/>
    </row>
    <row r="8" spans="1:7">
      <c r="A8" s="212" t="str">
        <f>"@prefix rdf: &lt;http://www.w3.org/1999/02/22-rdf-syntax-ns#&gt; ."</f>
        <v>@prefix rdf: &lt;http://www.w3.org/1999/02/22-rdf-syntax-ns#&gt; .</v>
      </c>
      <c r="B8" s="213"/>
    </row>
    <row r="9" spans="1:7">
      <c r="A9" s="212" t="str">
        <f>"@prefix rdfs: &lt;http://www.w3.org/2000/01/rdf-schema#&gt; ."</f>
        <v>@prefix rdfs: &lt;http://www.w3.org/2000/01/rdf-schema#&gt; .</v>
      </c>
      <c r="B9" s="213"/>
    </row>
    <row r="10" spans="1:7">
      <c r="A10" s="212" t="str">
        <f>"@prefix owl: &lt;http://www.w3.org/2002/07/owl#&gt; ."</f>
        <v>@prefix owl: &lt;http://www.w3.org/2002/07/owl#&gt; .</v>
      </c>
      <c r="B10" s="213"/>
    </row>
    <row r="11" spans="1:7">
      <c r="A11" s="212" t="str">
        <f>"@prefix skos: &lt;http://www.w3.org/2004/02/skos/core#&gt; ."</f>
        <v>@prefix skos: &lt;http://www.w3.org/2004/02/skos/core#&gt; .</v>
      </c>
      <c r="B11" s="213"/>
    </row>
    <row r="12" spans="1:7">
      <c r="A12" s="212" t="str">
        <f>"@prefix xsd: &lt;http://www.w3.org/2001/XMLSchema#&gt; ."</f>
        <v>@prefix xsd: &lt;http://www.w3.org/2001/XMLSchema#&gt; .</v>
      </c>
      <c r="B12" s="213"/>
    </row>
    <row r="13" spans="1:7">
      <c r="A13" s="212" t="str">
        <f>"@prefix dc: &lt;http://purl.org/dc/elements/1.1/&gt; ."</f>
        <v>@prefix dc: &lt;http://purl.org/dc/elements/1.1/&gt; .</v>
      </c>
      <c r="B13" s="213"/>
    </row>
    <row r="14" spans="1:7">
      <c r="A14" s="212" t="str">
        <f>"@prefix dcterms: &lt;http://purl.org/dc/terms/&gt; ."</f>
        <v>@prefix dcterms: &lt;http://purl.org/dc/terms/&gt; .</v>
      </c>
      <c r="B14" s="213"/>
    </row>
    <row r="15" spans="1:7">
      <c r="A15" s="212" t="str">
        <f>"@prefix vann: &lt;http://purl.org/vocab/vann/&gt; ."</f>
        <v>@prefix vann: &lt;http://purl.org/vocab/vann/&gt; .</v>
      </c>
      <c r="B15" s="213"/>
    </row>
    <row r="16" spans="1:7">
      <c r="A16" s="212" t="str">
        <f>"@prefix wd: &lt;http://www.wikidata.org/entity/&gt; ."</f>
        <v>@prefix wd: &lt;http://www.wikidata.org/entity/&gt; .</v>
      </c>
      <c r="B16" s="213"/>
    </row>
    <row r="17" spans="1:2">
      <c r="A17" s="145" t="str">
        <f>"@prefix thb-fbwm: &lt;https://www.th-brandenburg.de/mitarbeiterseiten/fbw/&gt; ."</f>
        <v>@prefix thb-fbwm: &lt;https://www.th-brandenburg.de/mitarbeiterseiten/fbw/&gt; .</v>
      </c>
      <c r="B17" s="146"/>
    </row>
    <row r="18" spans="1:2">
      <c r="A18" s="212" t="str">
        <f>"@prefix vs: &lt;http://www.w3.org/2003/06/sw-vocab-status/ns#&gt; ."</f>
        <v>@prefix vs: &lt;http://www.w3.org/2003/06/sw-vocab-status/ns#&gt; .</v>
      </c>
      <c r="B18" s="213"/>
    </row>
    <row r="19" spans="1:2">
      <c r="A19" s="206" t="str">
        <f>"@prefix module: &lt;https://bmake.th-brandenburg.de/module/&gt; ."</f>
        <v>@prefix module: &lt;https://bmake.th-brandenburg.de/module/&gt; .</v>
      </c>
      <c r="B19" s="207"/>
    </row>
    <row r="20" spans="1:2">
      <c r="A20" s="17"/>
    </row>
    <row r="21" spans="1:2">
      <c r="A21" s="56" t="s">
        <v>49</v>
      </c>
      <c r="B21" s="95"/>
    </row>
    <row r="22" spans="1:2">
      <c r="A22" s="57" t="e">
        <f>Processing!N3</f>
        <v>#N/A</v>
      </c>
      <c r="B22" s="63"/>
    </row>
    <row r="23" spans="1:2">
      <c r="A23" s="39" t="str" cm="1">
        <f t="array" ref="A23:B23">Processing!N4:O4</f>
        <v/>
      </c>
      <c r="B23" s="67" t="e">
        <v>#N/A</v>
      </c>
    </row>
    <row r="24" spans="1:2">
      <c r="A24" s="39" t="str" cm="1">
        <f t="array" ref="A24:B24">Processing!N5:O5</f>
        <v/>
      </c>
      <c r="B24" s="67" t="e">
        <v>#N/A</v>
      </c>
    </row>
    <row r="25" spans="1:2">
      <c r="A25" s="39" t="str" cm="1">
        <f t="array" ref="A25:B25">Processing!N6:O6</f>
        <v/>
      </c>
      <c r="B25" s="67" t="e">
        <v>#N/A</v>
      </c>
    </row>
    <row r="26" spans="1:2">
      <c r="A26" s="39" t="str" cm="1">
        <f t="array" ref="A26:B26">Processing!N7:O7</f>
        <v/>
      </c>
      <c r="B26" s="67" t="e">
        <v>#N/A</v>
      </c>
    </row>
    <row r="27" spans="1:2">
      <c r="A27" s="39" t="str" cm="1">
        <f t="array" ref="A27:B27">Processing!N8:O8</f>
        <v/>
      </c>
      <c r="B27" s="67" t="e">
        <v>#N/A</v>
      </c>
    </row>
    <row r="28" spans="1:2">
      <c r="A28" s="39" t="str" cm="1">
        <f t="array" ref="A28:B28">Processing!N9:O9</f>
        <v/>
      </c>
      <c r="B28" s="67" t="e">
        <v>#N/A</v>
      </c>
    </row>
    <row r="29" spans="1:2">
      <c r="A29" s="39" t="str" cm="1">
        <f t="array" ref="A29:B29">Processing!N10:O10</f>
        <v/>
      </c>
      <c r="B29" s="67" t="e">
        <v>#N/A</v>
      </c>
    </row>
    <row r="30" spans="1:2">
      <c r="A30" s="39" t="str" cm="1">
        <f t="array" ref="A30:B30">Processing!N16:O16</f>
        <v/>
      </c>
      <c r="B30" s="67" t="str">
        <v>schema:inLanguage "de" , "en" ;</v>
      </c>
    </row>
    <row r="31" spans="1:2">
      <c r="A31" s="39" t="str" cm="1">
        <f t="array" ref="A31:B31">Processing!N17:O17</f>
        <v/>
      </c>
      <c r="B31" s="136" t="str">
        <v>schema:interactivityType "" ;</v>
      </c>
    </row>
    <row r="32" spans="1:2">
      <c r="A32" s="39" t="str" cm="1">
        <f t="array" ref="A32:B32">Processing!N23:O23</f>
        <v/>
      </c>
      <c r="B32" s="67" t="e">
        <v>#N/A</v>
      </c>
    </row>
    <row r="33" spans="1:2">
      <c r="A33" s="37"/>
      <c r="B33" s="96" t="s">
        <v>228</v>
      </c>
    </row>
    <row r="34" spans="1:2">
      <c r="A34" s="39" t="str" cm="1">
        <f t="array" ref="A34:B34">Processing!N24:O24</f>
        <v/>
      </c>
      <c r="B34" s="67" t="e">
        <v>#N/A</v>
      </c>
    </row>
    <row r="35" spans="1:2">
      <c r="A35" s="39" t="str" cm="1">
        <f t="array" ref="A35:B35">Processing!N25:O25</f>
        <v/>
      </c>
      <c r="B35" s="136" t="e">
        <v>#N/A</v>
      </c>
    </row>
    <row r="36" spans="1:2">
      <c r="A36" s="39" t="str" cm="1">
        <f t="array" ref="A36:B36">Processing!N27:O27</f>
        <v/>
      </c>
      <c r="B36" s="103" t="str">
        <v>#schema:isBasedOn module:STG_Module ;</v>
      </c>
    </row>
    <row r="37" spans="1:2">
      <c r="A37" s="39" t="str" cm="1">
        <f t="array" ref="A37:B37">Processing!N28:O28</f>
        <v/>
      </c>
      <c r="B37" s="67" t="e">
        <v>#N/A</v>
      </c>
    </row>
    <row r="38" spans="1:2">
      <c r="A38" s="39" t="str" cm="1">
        <f t="array" ref="A38:B38">Processing!N29:O29</f>
        <v/>
      </c>
      <c r="B38" s="67" t="e">
        <v>#N/A</v>
      </c>
    </row>
    <row r="39" spans="1:2">
      <c r="A39" s="39" t="str" cm="1">
        <f t="array" ref="A39:B39">Processing!N30:O30</f>
        <v/>
      </c>
      <c r="B39" s="67" t="e">
        <v>#N/A</v>
      </c>
    </row>
    <row r="40" spans="1:2">
      <c r="A40" s="39" t="str" cm="1">
        <f t="array" ref="A40:B40">Processing!N31:O31</f>
        <v/>
      </c>
      <c r="B40" s="67" t="e">
        <v>#N/A</v>
      </c>
    </row>
    <row r="41" spans="1:2">
      <c r="A41" s="39" t="str" cm="1">
        <f t="array" ref="A41:B41">Processing!N32:O32</f>
        <v/>
      </c>
      <c r="B41" s="67" t="e">
        <v>#N/A</v>
      </c>
    </row>
    <row r="42" spans="1:2">
      <c r="A42" s="39" t="str" cm="1">
        <f t="array" ref="A42:B42">Processing!N33:O33</f>
        <v/>
      </c>
      <c r="B42" s="67" t="e">
        <v>#N/A</v>
      </c>
    </row>
    <row r="43" spans="1:2">
      <c r="A43" s="39" t="str" cm="1">
        <f t="array" ref="A43:B43">Processing!N34:O34</f>
        <v/>
      </c>
      <c r="B43" s="67" t="e">
        <v>#N/A</v>
      </c>
    </row>
    <row r="44" spans="1:2">
      <c r="A44" s="39" t="str" cm="1">
        <f t="array" ref="A44:B44">Processing!N35:O35</f>
        <v/>
      </c>
      <c r="B44" s="67" t="e">
        <v>#N/A</v>
      </c>
    </row>
    <row r="45" spans="1:2">
      <c r="A45" s="39" t="str" cm="1">
        <f t="array" ref="A45:B45">Processing!N36:O36</f>
        <v/>
      </c>
      <c r="B45" s="67" t="e">
        <v>#N/A</v>
      </c>
    </row>
    <row r="46" spans="1:2">
      <c r="A46" s="39" t="str" cm="1">
        <f t="array" ref="A46:B46">Processing!N37:O37</f>
        <v/>
      </c>
      <c r="B46" s="67" t="e">
        <v>#N/A</v>
      </c>
    </row>
    <row r="47" spans="1:2">
      <c r="A47" s="39" t="str" cm="1">
        <f t="array" ref="A47:B47">Processing!N38:O38</f>
        <v/>
      </c>
      <c r="B47" s="67" t="e">
        <v>#N/A</v>
      </c>
    </row>
    <row r="49" spans="1:2">
      <c r="A49" s="64" t="s">
        <v>39</v>
      </c>
      <c r="B49" s="95"/>
    </row>
    <row r="50" spans="1:2">
      <c r="A50" s="140"/>
      <c r="B50" s="63"/>
    </row>
    <row r="51" spans="1:2">
      <c r="A51" s="65" t="str" cm="1">
        <f t="array" ref="A51:B51">Processing!N78:O78</f>
        <v>thb-fbwm:vorname-nachname a module:Lecturer ;</v>
      </c>
      <c r="B51" s="63" t="str">
        <v/>
      </c>
    </row>
    <row r="52" spans="1:2">
      <c r="A52" s="58" t="str" cm="1">
        <f t="array" ref="A52:B52">Processing!N79:O79</f>
        <v/>
      </c>
      <c r="B52" s="96" t="str">
        <v>schema:sameAs "http://orcid.org/xxx" ;</v>
      </c>
    </row>
    <row r="53" spans="1:2">
      <c r="A53" s="57" t="str" cm="1">
        <f t="array" ref="A53:B53">Processing!N80:O80</f>
        <v/>
      </c>
      <c r="B53" s="67" t="str">
        <v>schema:givenName "Vorname" ;</v>
      </c>
    </row>
    <row r="54" spans="1:2">
      <c r="A54" s="57" t="str" cm="1">
        <f t="array" ref="A54:B54">Processing!N81:O81</f>
        <v/>
      </c>
      <c r="B54" s="67" t="e">
        <v>#N/A</v>
      </c>
    </row>
    <row r="55" spans="1:2">
      <c r="A55" s="57" t="str" cm="1">
        <f t="array" ref="A55:B55">Processing!N82:O82</f>
        <v/>
      </c>
      <c r="B55" s="67" t="str">
        <v>schema:honorificPrefix "" ;</v>
      </c>
    </row>
    <row r="56" spans="1:2">
      <c r="A56" s="57" t="str" cm="1">
        <f t="array" ref="A56:B56">Processing!N83:O83</f>
        <v/>
      </c>
      <c r="B56" s="67" t="str">
        <v>schema:honorificSuffix "" ;</v>
      </c>
    </row>
    <row r="57" spans="1:2">
      <c r="A57" s="57" t="str" cm="1">
        <f t="array" ref="A57:B57">Processing!N84:O84</f>
        <v/>
      </c>
      <c r="B57" s="67" t="e">
        <v>#N/A</v>
      </c>
    </row>
    <row r="58" spans="1:2">
      <c r="A58" s="57" t="str" cm="1">
        <f t="array" ref="A58:B58">Processing!N85:O85</f>
        <v/>
      </c>
      <c r="B58" s="67" t="str">
        <v>schema:affiliation wd:Q1391182 .</v>
      </c>
    </row>
    <row r="59" spans="1:2">
      <c r="A59" s="39" t="str" cm="1">
        <f t="array" ref="A59:B59">Processing!N86:O86</f>
        <v/>
      </c>
      <c r="B59" s="63" t="str">
        <v/>
      </c>
    </row>
    <row r="60" spans="1:2">
      <c r="A60" s="65" t="e" cm="1">
        <f t="array" ref="A60">IF(LEN(Processing!B44)-LEN(SUBSTITUTE(Processing!B44,",",))=3,Processing!N42:O76,IF(LEN(Processing!B44)-LEN(SUBSTITUTE(Processing!B44,",",))=2,Processing!N42:O67,IF(LEN(Processing!B44)-LEN(SUBSTITUTE(Processing!B44,",",))=1,Processing!N42:O58,IF(LEN(Processing!B44)&lt;1,"",Processing!N42:O49))))</f>
        <v>#N/A</v>
      </c>
      <c r="B60" s="63"/>
    </row>
    <row r="61" spans="1:2">
      <c r="A61" s="58"/>
      <c r="B61" s="96"/>
    </row>
    <row r="62" spans="1:2">
      <c r="A62" s="57"/>
      <c r="B62" s="67"/>
    </row>
    <row r="63" spans="1:2">
      <c r="A63" s="57"/>
      <c r="B63" s="67"/>
    </row>
    <row r="64" spans="1:2">
      <c r="A64" s="57"/>
      <c r="B64" s="67"/>
    </row>
    <row r="65" spans="1:2">
      <c r="A65" s="57"/>
      <c r="B65" s="67"/>
    </row>
    <row r="66" spans="1:2">
      <c r="A66" s="57"/>
      <c r="B66" s="67"/>
    </row>
    <row r="67" spans="1:2">
      <c r="A67" s="57"/>
      <c r="B67" s="67"/>
    </row>
    <row r="68" spans="1:2">
      <c r="A68" s="66"/>
      <c r="B68" s="63"/>
    </row>
    <row r="69" spans="1:2">
      <c r="A69" s="57"/>
      <c r="B69" s="63"/>
    </row>
    <row r="70" spans="1:2">
      <c r="A70" s="58"/>
      <c r="B70" s="96"/>
    </row>
    <row r="71" spans="1:2">
      <c r="A71" s="57"/>
      <c r="B71" s="67"/>
    </row>
    <row r="72" spans="1:2">
      <c r="A72" s="57"/>
      <c r="B72" s="67"/>
    </row>
    <row r="73" spans="1:2">
      <c r="A73" s="57"/>
      <c r="B73" s="67"/>
    </row>
    <row r="74" spans="1:2">
      <c r="A74" s="57"/>
      <c r="B74" s="67"/>
    </row>
    <row r="75" spans="1:2">
      <c r="A75" s="57"/>
      <c r="B75" s="67"/>
    </row>
    <row r="76" spans="1:2">
      <c r="A76" s="57"/>
      <c r="B76" s="67"/>
    </row>
    <row r="77" spans="1:2">
      <c r="A77" s="59"/>
      <c r="B77" s="63"/>
    </row>
    <row r="78" spans="1:2">
      <c r="A78" s="57"/>
      <c r="B78" s="63"/>
    </row>
    <row r="79" spans="1:2">
      <c r="A79" s="58"/>
      <c r="B79" s="96"/>
    </row>
    <row r="80" spans="1:2">
      <c r="A80" s="57"/>
      <c r="B80" s="67"/>
    </row>
    <row r="81" spans="1:2">
      <c r="A81" s="57"/>
      <c r="B81" s="67"/>
    </row>
    <row r="82" spans="1:2">
      <c r="A82" s="57"/>
      <c r="B82" s="67"/>
    </row>
    <row r="83" spans="1:2">
      <c r="A83" s="57"/>
      <c r="B83" s="67"/>
    </row>
    <row r="84" spans="1:2">
      <c r="A84" s="57"/>
      <c r="B84" s="67"/>
    </row>
    <row r="85" spans="1:2">
      <c r="A85" s="57"/>
      <c r="B85" s="67"/>
    </row>
    <row r="86" spans="1:2">
      <c r="A86" s="59"/>
      <c r="B86" s="63"/>
    </row>
    <row r="87" spans="1:2">
      <c r="A87" s="57"/>
      <c r="B87" s="63"/>
    </row>
    <row r="88" spans="1:2">
      <c r="A88" s="58"/>
      <c r="B88" s="63"/>
    </row>
    <row r="89" spans="1:2">
      <c r="A89" s="57"/>
      <c r="B89" s="63"/>
    </row>
    <row r="90" spans="1:2">
      <c r="A90" s="57"/>
      <c r="B90" s="63"/>
    </row>
    <row r="91" spans="1:2">
      <c r="A91" s="57"/>
      <c r="B91" s="63"/>
    </row>
    <row r="92" spans="1:2">
      <c r="A92" s="57"/>
      <c r="B92" s="63"/>
    </row>
    <row r="93" spans="1:2">
      <c r="A93" s="57"/>
      <c r="B93" s="63"/>
    </row>
    <row r="94" spans="1:2">
      <c r="A94" s="83"/>
      <c r="B94" s="84"/>
    </row>
    <row r="95" spans="1:2">
      <c r="A95" s="57"/>
      <c r="B95" s="63"/>
    </row>
    <row r="96" spans="1:2" hidden="1">
      <c r="A96" s="64" t="s">
        <v>118</v>
      </c>
      <c r="B96" s="95"/>
    </row>
    <row r="97" spans="1:2" hidden="1">
      <c r="A97" s="102" t="e" cm="1">
        <f t="array" ref="A97">IF(LEN(Processing!B89)-LEN(SUBSTITUTE(Processing!B89,";",))=4,Processing!N89:O112,IF(LEN(Processing!B89)-LEN(SUBSTITUTE(Processing!B89,";",))=3,Processing!N89:O107,IF(LEN(Processing!B89)-LEN(SUBSTITUTE(Processing!B89,";",))=2,Processing!N89:O102,IF(LEN(Processing!B89)-LEN(SUBSTITUTE(Processing!B89,";",))=1,Processing!N89:O97,Processing!N89:O92))))</f>
        <v>#N/A</v>
      </c>
      <c r="B97" s="63"/>
    </row>
    <row r="98" spans="1:2" hidden="1">
      <c r="A98" s="58"/>
      <c r="B98" s="63"/>
    </row>
    <row r="99" spans="1:2" hidden="1">
      <c r="A99" s="57"/>
      <c r="B99" s="63"/>
    </row>
    <row r="100" spans="1:2" hidden="1">
      <c r="A100" s="57"/>
      <c r="B100" s="63"/>
    </row>
    <row r="101" spans="1:2" hidden="1">
      <c r="A101" s="57"/>
      <c r="B101" s="63"/>
    </row>
    <row r="102" spans="1:2" hidden="1">
      <c r="A102" s="58"/>
      <c r="B102" s="63"/>
    </row>
    <row r="103" spans="1:2" hidden="1">
      <c r="A103" s="57"/>
      <c r="B103" s="63"/>
    </row>
    <row r="104" spans="1:2" hidden="1">
      <c r="A104" s="57"/>
      <c r="B104" s="63"/>
    </row>
    <row r="105" spans="1:2" hidden="1">
      <c r="A105" s="66"/>
      <c r="B105" s="63"/>
    </row>
    <row r="106" spans="1:2" hidden="1">
      <c r="A106" s="57"/>
      <c r="B106" s="63"/>
    </row>
    <row r="107" spans="1:2" hidden="1">
      <c r="A107" s="58"/>
      <c r="B107" s="63"/>
    </row>
    <row r="108" spans="1:2" hidden="1">
      <c r="A108" s="57"/>
      <c r="B108" s="63"/>
    </row>
    <row r="109" spans="1:2" hidden="1">
      <c r="A109" s="57"/>
      <c r="B109" s="63"/>
    </row>
    <row r="110" spans="1:2" hidden="1">
      <c r="A110" s="57"/>
      <c r="B110" s="63"/>
    </row>
    <row r="111" spans="1:2" hidden="1">
      <c r="A111" s="57"/>
      <c r="B111" s="63"/>
    </row>
    <row r="112" spans="1:2" hidden="1">
      <c r="A112" s="58"/>
      <c r="B112" s="63"/>
    </row>
    <row r="113" spans="1:2" hidden="1">
      <c r="A113" s="57"/>
      <c r="B113" s="63"/>
    </row>
    <row r="114" spans="1:2" hidden="1">
      <c r="A114" s="59"/>
      <c r="B114" s="63"/>
    </row>
    <row r="115" spans="1:2" hidden="1">
      <c r="A115" s="59"/>
      <c r="B115" s="63"/>
    </row>
    <row r="116" spans="1:2" hidden="1">
      <c r="A116" s="59"/>
      <c r="B116" s="63"/>
    </row>
    <row r="117" spans="1:2" hidden="1">
      <c r="A117" s="59"/>
      <c r="B117" s="63"/>
    </row>
    <row r="118" spans="1:2" hidden="1">
      <c r="A118" s="59"/>
      <c r="B118" s="63"/>
    </row>
    <row r="119" spans="1:2" hidden="1">
      <c r="A119" s="59"/>
      <c r="B119" s="63"/>
    </row>
    <row r="120" spans="1:2">
      <c r="A120" s="127"/>
      <c r="B120" s="84"/>
    </row>
    <row r="122" spans="1:2" hidden="1">
      <c r="A122" s="64" t="s">
        <v>119</v>
      </c>
      <c r="B122" s="95"/>
    </row>
    <row r="123" spans="1:2">
      <c r="A123" s="83"/>
      <c r="B123" s="84"/>
    </row>
    <row r="124" spans="1:2">
      <c r="A124" s="57"/>
    </row>
    <row r="125" spans="1:2" hidden="1">
      <c r="A125" s="64" t="s">
        <v>121</v>
      </c>
      <c r="B125" s="95"/>
    </row>
    <row r="126" spans="1:2">
      <c r="A126" s="83"/>
      <c r="B126" s="84"/>
    </row>
    <row r="127" spans="1:2">
      <c r="A127" s="57"/>
    </row>
    <row r="128" spans="1:2" hidden="1">
      <c r="A128" s="64" t="s">
        <v>133</v>
      </c>
      <c r="B128" s="95"/>
    </row>
    <row r="129" spans="1:2">
      <c r="A129" s="83"/>
      <c r="B129" s="84"/>
    </row>
    <row r="130" spans="1:2">
      <c r="A130" s="57"/>
    </row>
    <row r="131" spans="1:2">
      <c r="A131" s="56" t="s">
        <v>67</v>
      </c>
      <c r="B131" s="95"/>
    </row>
    <row r="132" spans="1:2">
      <c r="A132" s="57" t="e">
        <f>Processing!N154</f>
        <v>#N/A</v>
      </c>
      <c r="B132" s="63"/>
    </row>
    <row r="133" spans="1:2">
      <c r="A133" s="59"/>
      <c r="B133" s="67" t="s">
        <v>69</v>
      </c>
    </row>
    <row r="134" spans="1:2">
      <c r="A134" s="59"/>
      <c r="B134" s="67" t="s">
        <v>70</v>
      </c>
    </row>
    <row r="135" spans="1:2">
      <c r="A135" s="59" t="str" cm="1">
        <f t="array" ref="A135:B135">Processing!N155:O155</f>
        <v/>
      </c>
      <c r="B135" s="67" t="e">
        <v>#N/A</v>
      </c>
    </row>
    <row r="136" spans="1:2">
      <c r="A136" s="59"/>
      <c r="B136" s="63"/>
    </row>
    <row r="137" spans="1:2">
      <c r="A137" s="57" t="e" cm="1">
        <f t="array" ref="A137:B137">Processing!N157:O157</f>
        <v>#N/A</v>
      </c>
      <c r="B137" s="67" t="str">
        <v/>
      </c>
    </row>
    <row r="138" spans="1:2">
      <c r="A138" s="57" t="str" cm="1">
        <f t="array" ref="A138:B138">Processing!N158:O158</f>
        <v/>
      </c>
      <c r="B138" s="67" t="e">
        <v>#N/A</v>
      </c>
    </row>
    <row r="139" spans="1:2">
      <c r="A139" s="57" t="str" cm="1">
        <f t="array" ref="A139:B139">Processing!N159:O159</f>
        <v/>
      </c>
      <c r="B139" s="67" t="e">
        <v>#N/A</v>
      </c>
    </row>
    <row r="140" spans="1:2">
      <c r="A140" s="57"/>
      <c r="B140" s="67"/>
    </row>
    <row r="141" spans="1:2">
      <c r="A141" s="57" t="e" cm="1">
        <f t="array" ref="A141:B141">Processing!N161:O161</f>
        <v>#N/A</v>
      </c>
      <c r="B141" s="67" t="str">
        <v/>
      </c>
    </row>
    <row r="142" spans="1:2">
      <c r="A142" s="57" t="str" cm="1">
        <f t="array" ref="A142:B142">Processing!N162:O162</f>
        <v/>
      </c>
      <c r="B142" s="67" t="e">
        <v>#N/A</v>
      </c>
    </row>
    <row r="143" spans="1:2">
      <c r="A143" s="57" t="str" cm="1">
        <f t="array" ref="A143:B143">Processing!N163:O163</f>
        <v/>
      </c>
      <c r="B143" s="67" t="e">
        <v>#N/A</v>
      </c>
    </row>
    <row r="144" spans="1:2">
      <c r="A144" s="57"/>
      <c r="B144" s="67"/>
    </row>
    <row r="145" spans="1:2">
      <c r="A145" s="57" t="e" cm="1">
        <f t="array" ref="A145:B145">Processing!N165:O165</f>
        <v>#N/A</v>
      </c>
      <c r="B145" s="67" t="str">
        <v/>
      </c>
    </row>
    <row r="146" spans="1:2">
      <c r="A146" s="57"/>
      <c r="B146" s="67" t="s">
        <v>89</v>
      </c>
    </row>
    <row r="147" spans="1:2">
      <c r="A147" s="57"/>
      <c r="B147" s="67" t="s">
        <v>90</v>
      </c>
    </row>
    <row r="148" spans="1:2">
      <c r="A148" s="57" t="str" cm="1">
        <f t="array" ref="A148:B148">Processing!N168:O168</f>
        <v/>
      </c>
      <c r="B148" s="67" t="e">
        <v>#N/A</v>
      </c>
    </row>
    <row r="149" spans="1:2">
      <c r="A149" s="57"/>
      <c r="B149" s="67"/>
    </row>
    <row r="150" spans="1:2">
      <c r="A150" s="57" t="e" cm="1">
        <f t="array" ref="A150:B150">Processing!N170:O170</f>
        <v>#N/A</v>
      </c>
      <c r="B150" s="67" t="str">
        <v/>
      </c>
    </row>
    <row r="151" spans="1:2">
      <c r="A151" s="57" t="str" cm="1">
        <f t="array" ref="A151:B151">Processing!N171:O171</f>
        <v/>
      </c>
      <c r="B151" s="67" t="e">
        <v>#N/A</v>
      </c>
    </row>
    <row r="152" spans="1:2">
      <c r="A152" s="57" t="str" cm="1">
        <f t="array" ref="A152:B152">Processing!N172:O172</f>
        <v/>
      </c>
      <c r="B152" s="136" t="e">
        <v>#N/A</v>
      </c>
    </row>
    <row r="153" spans="1:2">
      <c r="A153" s="57"/>
      <c r="B153" s="67"/>
    </row>
    <row r="154" spans="1:2">
      <c r="A154" s="57" t="e" cm="1">
        <f t="array" ref="A154:B154">Processing!N176:O176</f>
        <v>#N/A</v>
      </c>
      <c r="B154" s="67" t="str">
        <v/>
      </c>
    </row>
    <row r="155" spans="1:2">
      <c r="A155" s="57" t="str" cm="1">
        <f t="array" ref="A155:B155">Processing!N177:O177</f>
        <v/>
      </c>
      <c r="B155" s="67" t="e">
        <v>#N/A</v>
      </c>
    </row>
    <row r="156" spans="1:2">
      <c r="A156" s="83" t="str" cm="1">
        <f t="array" ref="A156:B156">Processing!N178:O178</f>
        <v/>
      </c>
      <c r="B156" s="86" t="e">
        <v>#N/A</v>
      </c>
    </row>
    <row r="158" spans="1:2">
      <c r="A158" s="56" t="s">
        <v>98</v>
      </c>
      <c r="B158" s="95"/>
    </row>
    <row r="159" spans="1:2">
      <c r="A159" s="57" t="e" cm="1">
        <f t="array" ref="A159:B159">Processing!N182:O182</f>
        <v>#N/A</v>
      </c>
      <c r="B159" s="63" t="str">
        <v/>
      </c>
    </row>
    <row r="160" spans="1:2">
      <c r="A160" s="57" t="str" cm="1">
        <f t="array" ref="A160:B160">Processing!N183:O183</f>
        <v/>
      </c>
      <c r="B160" s="67" t="str">
        <v>schema:identifier "Results" ;</v>
      </c>
    </row>
    <row r="161" spans="1:2" ht="64" customHeight="1">
      <c r="A161" s="57" t="str" cm="1">
        <f t="array" ref="A161:B161">Processing!N184:O184</f>
        <v/>
      </c>
      <c r="B161" s="67" t="e">
        <v>#N/A</v>
      </c>
    </row>
    <row r="162" spans="1:2">
      <c r="A162" s="57" t="str" cm="1">
        <f t="array" ref="A162:B162">Processing!N185:O185</f>
        <v/>
      </c>
      <c r="B162" s="67" t="str">
        <v>schema:itemListElement "" .</v>
      </c>
    </row>
    <row r="163" spans="1:2">
      <c r="A163" s="57"/>
      <c r="B163" s="63"/>
    </row>
    <row r="164" spans="1:2">
      <c r="A164" s="57" t="e" cm="1">
        <f t="array" ref="A164:B164">Processing!N192:O192</f>
        <v>#N/A</v>
      </c>
      <c r="B164" s="63" t="str">
        <v/>
      </c>
    </row>
    <row r="165" spans="1:2">
      <c r="A165" s="57" t="str" cm="1">
        <f t="array" ref="A165:B165">Processing!N193:O193</f>
        <v/>
      </c>
      <c r="B165" s="67" t="str">
        <v>schema:identifier "Content" ;</v>
      </c>
    </row>
    <row r="166" spans="1:2">
      <c r="A166" s="57" t="str" cm="1">
        <f t="array" ref="A166:B166">Processing!N194:O194</f>
        <v/>
      </c>
      <c r="B166" s="67" t="e">
        <v>#N/A</v>
      </c>
    </row>
    <row r="167" spans="1:2">
      <c r="A167" s="57" t="str" cm="1">
        <f t="array" ref="A167:B167">Processing!N195:O195</f>
        <v/>
      </c>
      <c r="B167" s="67" t="str">
        <v>schema:itemListElement "" .</v>
      </c>
    </row>
    <row r="168" spans="1:2">
      <c r="A168" s="57"/>
      <c r="B168" s="67"/>
    </row>
    <row r="169" spans="1:2">
      <c r="A169" s="57" t="e" cm="1">
        <f t="array" ref="A169:B169">Processing!N202:O202</f>
        <v>#N/A</v>
      </c>
      <c r="B169" s="67" t="str">
        <v/>
      </c>
    </row>
    <row r="170" spans="1:2">
      <c r="A170" s="57" t="str" cm="1">
        <f t="array" ref="A170:B170">Processing!N203:O203</f>
        <v/>
      </c>
      <c r="B170" s="67" t="str">
        <v>schema:identifier "Exam" ;</v>
      </c>
    </row>
    <row r="171" spans="1:2">
      <c r="A171" s="57" t="str" cm="1">
        <f t="array" ref="A171:B171">Processing!N204:O204</f>
        <v/>
      </c>
      <c r="B171" s="67" t="e">
        <v>#N/A</v>
      </c>
    </row>
    <row r="172" spans="1:2">
      <c r="A172" s="83" t="str" cm="1">
        <f t="array" ref="A172:B172">Processing!N205:O205</f>
        <v/>
      </c>
      <c r="B172" s="86" t="e">
        <v>#N/A</v>
      </c>
    </row>
    <row r="173" spans="1:2">
      <c r="A173" s="57"/>
    </row>
    <row r="174" spans="1:2">
      <c r="A174" s="56" t="s">
        <v>105</v>
      </c>
      <c r="B174" s="95"/>
    </row>
    <row r="175" spans="1:2">
      <c r="A175" s="57" t="e" cm="1">
        <f t="array" ref="A175:B175">Processing!N208:O208</f>
        <v>#N/A</v>
      </c>
      <c r="B175" s="63" t="str">
        <v/>
      </c>
    </row>
    <row r="176" spans="1:2">
      <c r="A176" s="57" t="str" cm="1">
        <f t="array" ref="A176:B176">Processing!N209:O209</f>
        <v/>
      </c>
      <c r="B176" s="67" t="e">
        <v>#N/A</v>
      </c>
    </row>
    <row r="177" spans="1:2">
      <c r="A177" s="57" t="str" cm="1">
        <f t="array" ref="A177:B177">Processing!N210:O210</f>
        <v/>
      </c>
      <c r="B177" s="67" t="str">
        <v>schema:duration "P0.5Y" ;</v>
      </c>
    </row>
    <row r="178" spans="1:2">
      <c r="A178" s="83" t="str" cm="1">
        <f t="array" ref="A178:B178">Processing!N212:O212</f>
        <v/>
      </c>
      <c r="B178" s="86" t="e">
        <v>#N/A</v>
      </c>
    </row>
    <row r="180" spans="1:2">
      <c r="A180" s="56" t="s">
        <v>109</v>
      </c>
      <c r="B180" s="95"/>
    </row>
    <row r="181" spans="1:2">
      <c r="A181" s="57" t="e" cm="1">
        <f t="array" ref="A181:B181">Processing!N216:O216</f>
        <v>#N/A</v>
      </c>
      <c r="B181" s="63" t="str">
        <v/>
      </c>
    </row>
    <row r="182" spans="1:2">
      <c r="A182" s="57" t="str" cm="1">
        <f t="array" ref="A182:B182">Processing!N217:O217</f>
        <v/>
      </c>
      <c r="B182" s="67" t="str">
        <v>schema:alignmentType "Zuordnung zum Curriculum" ;</v>
      </c>
    </row>
    <row r="183" spans="1:2" ht="31">
      <c r="A183" s="57" t="str" cm="1">
        <f t="array" ref="A183:B183">Processing!N218:O218</f>
        <v/>
      </c>
      <c r="B183" s="67" t="str">
        <v>schema:educationalFramework "Studien- und Prüfungsordnung für den Bachelor-Studiengang Wirtschaftsinformatik [Business &amp; Information Systems Engineering B.Sc.] (SPO-BSc-WI-THB-2017) im Fachbereich Wirtschaft vom 15.02.2017, Anlage 1" ;</v>
      </c>
    </row>
    <row r="184" spans="1:2">
      <c r="A184" s="57" t="str" cm="1">
        <f t="array" ref="A184:B184">Processing!N219:O219</f>
        <v/>
      </c>
      <c r="B184" s="67" t="e">
        <v>#N/A</v>
      </c>
    </row>
    <row r="185" spans="1:2">
      <c r="A185" s="57" t="str" cm="1">
        <f t="array" ref="A185:B185">Processing!N220:O220</f>
        <v/>
      </c>
      <c r="B185" s="67" t="e">
        <v>#N/A</v>
      </c>
    </row>
    <row r="186" spans="1:2">
      <c r="A186" s="57" t="str" cm="1">
        <f t="array" ref="A186:B186">Processing!N221:O221</f>
        <v/>
      </c>
      <c r="B186" s="67" t="str">
        <v>schema:targetURL "https://www.th-brandenburg.de/fileadmin/user_upload/hochschule/Dateien/Amtliche-Mitteilungen/2017/2017-11-SPO-BSc-WI.pdf" .</v>
      </c>
    </row>
    <row r="187" spans="1:2">
      <c r="A187" s="59"/>
      <c r="B187" s="63"/>
    </row>
    <row r="188" spans="1:2">
      <c r="A188" s="57" t="e" cm="1">
        <f t="array" ref="A188:B188">Processing!N223:O223</f>
        <v>#N/A</v>
      </c>
      <c r="B188" s="63" t="str">
        <v/>
      </c>
    </row>
    <row r="189" spans="1:2">
      <c r="A189" s="57" t="str" cm="1">
        <f t="array" ref="A189:B189">Processing!N224:O224</f>
        <v/>
      </c>
      <c r="B189" s="67" t="str">
        <v>schema:alignmentType "Modultyp" ;</v>
      </c>
    </row>
    <row r="190" spans="1:2" ht="31">
      <c r="A190" s="57" t="str" cm="1">
        <f t="array" ref="A190:B190">Processing!N225:O225</f>
        <v/>
      </c>
      <c r="B190" s="67" t="str">
        <v>schema:educationalFramework "Studien- und Prüfungsordnung für den Bachelor-Studiengang Wirtschaftsinformatik [Business &amp; Information Systems Engineering B.Sc.] (SPO-BSc-WI-THB-2017) im Fachbereich Wirtschaft vom 15.02.2017, Anlage 1" ;</v>
      </c>
    </row>
    <row r="191" spans="1:2">
      <c r="A191" s="57" t="str" cm="1">
        <f t="array" ref="A191:B191">Processing!N226:O226</f>
        <v/>
      </c>
      <c r="B191" s="67" t="str">
        <v>schema:targetName "Pflichtmodul" ;</v>
      </c>
    </row>
    <row r="192" spans="1:2">
      <c r="A192" s="57" t="str" cm="1">
        <f t="array" ref="A192:B192">Processing!N227:O227</f>
        <v/>
      </c>
      <c r="B192" s="67" t="str">
        <v>schema:targetDescription "muss von allen Studierenden belegt und absolviert werden" ;</v>
      </c>
    </row>
    <row r="193" spans="1:2">
      <c r="A193" s="57" t="str" cm="1">
        <f t="array" ref="A193:B193">Processing!N228:O228</f>
        <v/>
      </c>
      <c r="B193" s="67" t="str">
        <v>schema:targetURL "https://www.th-brandenburg.de/fileadmin/user_upload/hochschule/Dateien/Amtliche-Mitteilungen/2017/2017-11-SPO-BSc-WI.pdf" .</v>
      </c>
    </row>
    <row r="194" spans="1:2">
      <c r="A194" s="59"/>
      <c r="B194" s="63"/>
    </row>
    <row r="195" spans="1:2">
      <c r="A195" s="57" t="e" cm="1">
        <f t="array" ref="A195:B195">Processing!N230:O230</f>
        <v>#N/A</v>
      </c>
      <c r="B195" s="63" t="str">
        <v/>
      </c>
    </row>
    <row r="196" spans="1:2">
      <c r="A196" s="57" t="str" cm="1">
        <f t="array" ref="A196:B196">Processing!N231:O231</f>
        <v/>
      </c>
      <c r="B196" s="67" t="str">
        <v>schema:alignmentType "SWS" ;</v>
      </c>
    </row>
    <row r="197" spans="1:2" ht="31">
      <c r="A197" s="57" t="str" cm="1">
        <f t="array" ref="A197:B197">Processing!N232:O232</f>
        <v/>
      </c>
      <c r="B197" s="67" t="str">
        <v>schema:educationalFramework "Studien- und Prüfungsordnung für den Bachelor-Studiengang Wirtschaftsinformatik [Business &amp; Information Systems Engineering B.Sc.] (SPO-BSc-WI-THB-2017) im Fachbereich Wirtschaft vom 15.02.2017, Anlage 1" ;</v>
      </c>
    </row>
    <row r="198" spans="1:2">
      <c r="A198" s="57" t="str" cm="1">
        <f t="array" ref="A198:B198">Processing!N233:O233</f>
        <v/>
      </c>
      <c r="B198" s="67" t="e">
        <v>#N/A</v>
      </c>
    </row>
    <row r="199" spans="1:2">
      <c r="A199" s="57" t="str" cm="1">
        <f t="array" ref="A199:B199">Processing!N234:O234</f>
        <v/>
      </c>
      <c r="B199" s="67" t="str">
        <v>schema:targetDescription "Umfang des Moduls in Semesterwochenstunden" ;</v>
      </c>
    </row>
    <row r="200" spans="1:2">
      <c r="A200" s="57" t="str" cm="1">
        <f t="array" ref="A200:B200">Processing!N235:O235</f>
        <v/>
      </c>
      <c r="B200" s="67" t="str">
        <v>schema:targetURL "https://www.th-brandenburg.de/fileadmin/user_upload/hochschule/Dateien/Amtliche-Mitteilungen/2017/2017-11-SPO-BSc-WI.pdf" .</v>
      </c>
    </row>
    <row r="201" spans="1:2">
      <c r="A201" s="59"/>
      <c r="B201" s="63"/>
    </row>
    <row r="202" spans="1:2">
      <c r="A202" s="57" t="e" cm="1">
        <f t="array" ref="A202:B202">Processing!N237:O237</f>
        <v>#N/A</v>
      </c>
      <c r="B202" s="63" t="str">
        <v/>
      </c>
    </row>
    <row r="203" spans="1:2">
      <c r="A203" s="57" t="str" cm="1">
        <f t="array" ref="A203:B203">Processing!N238:O238</f>
        <v/>
      </c>
      <c r="B203" s="67" t="str">
        <v>schema:alignmentType "Gewichtung der Note" ;</v>
      </c>
    </row>
    <row r="204" spans="1:2" ht="31">
      <c r="A204" s="57" t="str" cm="1">
        <f t="array" ref="A204:B204">Processing!N239:O239</f>
        <v/>
      </c>
      <c r="B204" s="67" t="str">
        <v>schema:educationalFramework "Studien- und Prüfungsordnung für den Bachelor-Studiengang Wirtschaftsinformatik [Business &amp; Information Systems Engineering B.Sc.] (SPO-BSc-WI-THB-2017) im Fachbereich Wirtschaft vom 15.02.2017, § 13" ;</v>
      </c>
    </row>
    <row r="205" spans="1:2">
      <c r="A205" s="57" t="str" cm="1">
        <f t="array" ref="A205:B205">Processing!N240:O240</f>
        <v/>
      </c>
      <c r="B205" s="67" t="e">
        <v>#N/A</v>
      </c>
    </row>
    <row r="206" spans="1:2" ht="31">
      <c r="A206" s="57" t="str" cm="1">
        <f t="array" ref="A206:B206">Processing!N241:O241</f>
        <v/>
      </c>
      <c r="B206" s="67" t="str">
        <v>schema:targetDescription "Gewichtungsanteile der Note im Hinblick auf die spezifische Fachnote (1/3), den Mittelwert aller Fachnoten (3,33 %) sowie die Abschlussnote (2,67 %)" ;</v>
      </c>
    </row>
    <row r="207" spans="1:2">
      <c r="A207" s="83" t="str" cm="1">
        <f t="array" ref="A207:B207">Processing!N242:O242</f>
        <v/>
      </c>
      <c r="B207" s="86" t="str">
        <v>schema:targetURL "https://www.th-brandenburg.de/fileadmin/user_upload/hochschule/Dateien/Amtliche-Mitteilungen/2017/2017-11-SPO-BSc-WI.pdf" .</v>
      </c>
    </row>
  </sheetData>
  <mergeCells count="18">
    <mergeCell ref="A1:B1"/>
    <mergeCell ref="A7:B7"/>
    <mergeCell ref="A19:B19"/>
    <mergeCell ref="A2:B2"/>
    <mergeCell ref="A3:B3"/>
    <mergeCell ref="A4:B4"/>
    <mergeCell ref="A5:B5"/>
    <mergeCell ref="A13:B13"/>
    <mergeCell ref="A14:B14"/>
    <mergeCell ref="A15:B15"/>
    <mergeCell ref="A16:B16"/>
    <mergeCell ref="A18:B18"/>
    <mergeCell ref="A6:B6"/>
    <mergeCell ref="A8:B8"/>
    <mergeCell ref="A10:B10"/>
    <mergeCell ref="A9:B9"/>
    <mergeCell ref="A11:B11"/>
    <mergeCell ref="A12:B12"/>
  </mergeCells>
  <pageMargins left="0.7" right="0.7" top="0.78740157499999996" bottom="0.78740157499999996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4253A-1F12-4F4D-8470-FDCC8BF10861}">
  <dimension ref="A1:G41"/>
  <sheetViews>
    <sheetView tabSelected="1" workbookViewId="0">
      <pane ySplit="1" topLeftCell="A17" activePane="bottomLeft" state="frozen"/>
      <selection pane="bottomLeft" activeCell="M24" sqref="M24"/>
    </sheetView>
  </sheetViews>
  <sheetFormatPr baseColWidth="10" defaultRowHeight="15.5"/>
  <cols>
    <col min="1" max="1" width="64.33203125" style="148" bestFit="1" customWidth="1"/>
    <col min="2" max="5" width="10.6640625" style="148"/>
    <col min="7" max="7" width="10.6640625" style="148"/>
  </cols>
  <sheetData>
    <row r="1" spans="1:7" s="147" customFormat="1">
      <c r="A1" s="147" t="s">
        <v>232</v>
      </c>
      <c r="B1" s="147" t="s">
        <v>233</v>
      </c>
      <c r="C1" s="147" t="s">
        <v>234</v>
      </c>
      <c r="D1" s="147" t="s">
        <v>240</v>
      </c>
      <c r="E1" s="147" t="s">
        <v>238</v>
      </c>
      <c r="F1" s="147" t="s">
        <v>239</v>
      </c>
      <c r="G1" s="147" t="s">
        <v>246</v>
      </c>
    </row>
    <row r="2" spans="1:7">
      <c r="A2" s="148" t="s">
        <v>2</v>
      </c>
      <c r="B2" s="148" t="s">
        <v>235</v>
      </c>
      <c r="C2" s="148" t="s">
        <v>236</v>
      </c>
      <c r="D2" s="148" t="s">
        <v>241</v>
      </c>
      <c r="E2" s="148" t="s">
        <v>237</v>
      </c>
      <c r="F2" s="148" t="s">
        <v>245</v>
      </c>
      <c r="G2" s="148">
        <v>1</v>
      </c>
    </row>
    <row r="3" spans="1:7">
      <c r="A3" s="148" t="s">
        <v>242</v>
      </c>
      <c r="B3" s="148" t="s">
        <v>243</v>
      </c>
      <c r="C3" s="148" t="s">
        <v>244</v>
      </c>
      <c r="D3" s="148" t="s">
        <v>241</v>
      </c>
      <c r="E3" s="148" t="s">
        <v>237</v>
      </c>
      <c r="F3" s="148" t="s">
        <v>245</v>
      </c>
      <c r="G3" s="148">
        <v>1</v>
      </c>
    </row>
    <row r="4" spans="1:7">
      <c r="A4" s="148" t="s">
        <v>158</v>
      </c>
      <c r="B4" s="148" t="s">
        <v>247</v>
      </c>
      <c r="C4" s="148" t="s">
        <v>248</v>
      </c>
      <c r="D4" s="148" t="s">
        <v>241</v>
      </c>
      <c r="E4" s="148" t="s">
        <v>237</v>
      </c>
      <c r="F4" s="148" t="s">
        <v>245</v>
      </c>
      <c r="G4" s="148">
        <v>1</v>
      </c>
    </row>
    <row r="5" spans="1:7">
      <c r="A5" s="148" t="s">
        <v>159</v>
      </c>
      <c r="B5" s="148" t="s">
        <v>249</v>
      </c>
      <c r="C5" s="148" t="s">
        <v>250</v>
      </c>
      <c r="D5" s="148" t="s">
        <v>241</v>
      </c>
      <c r="E5" s="148" t="s">
        <v>237</v>
      </c>
      <c r="F5" s="148" t="s">
        <v>245</v>
      </c>
      <c r="G5" s="148">
        <v>1</v>
      </c>
    </row>
    <row r="6" spans="1:7">
      <c r="A6" s="148" t="s">
        <v>160</v>
      </c>
      <c r="B6" s="148" t="s">
        <v>251</v>
      </c>
      <c r="C6" s="148" t="s">
        <v>252</v>
      </c>
      <c r="D6" s="148" t="s">
        <v>241</v>
      </c>
      <c r="E6" s="148" t="s">
        <v>237</v>
      </c>
      <c r="F6" s="148" t="s">
        <v>245</v>
      </c>
      <c r="G6" s="148">
        <v>1</v>
      </c>
    </row>
    <row r="7" spans="1:7">
      <c r="A7" s="148" t="s">
        <v>156</v>
      </c>
      <c r="B7" s="148" t="s">
        <v>253</v>
      </c>
      <c r="C7" s="148" t="s">
        <v>254</v>
      </c>
      <c r="D7" s="148" t="s">
        <v>241</v>
      </c>
      <c r="E7" s="148" t="s">
        <v>237</v>
      </c>
      <c r="F7" s="148" t="s">
        <v>245</v>
      </c>
      <c r="G7" s="148">
        <v>1</v>
      </c>
    </row>
    <row r="8" spans="1:7">
      <c r="A8" s="148" t="s">
        <v>255</v>
      </c>
      <c r="B8" s="148" t="s">
        <v>256</v>
      </c>
      <c r="C8" s="148" t="s">
        <v>257</v>
      </c>
      <c r="D8" s="148" t="s">
        <v>241</v>
      </c>
      <c r="E8" s="148" t="s">
        <v>237</v>
      </c>
      <c r="F8" s="148" t="s">
        <v>258</v>
      </c>
      <c r="G8" s="148">
        <v>2</v>
      </c>
    </row>
    <row r="9" spans="1:7">
      <c r="A9" s="148" t="s">
        <v>164</v>
      </c>
      <c r="B9" s="148" t="s">
        <v>259</v>
      </c>
      <c r="C9" s="148" t="s">
        <v>260</v>
      </c>
      <c r="D9" s="148" t="s">
        <v>241</v>
      </c>
      <c r="E9" s="148" t="s">
        <v>237</v>
      </c>
      <c r="F9" s="148" t="s">
        <v>258</v>
      </c>
      <c r="G9" s="148">
        <v>2</v>
      </c>
    </row>
    <row r="10" spans="1:7">
      <c r="A10" s="148" t="s">
        <v>165</v>
      </c>
      <c r="B10" s="148" t="s">
        <v>261</v>
      </c>
      <c r="C10" s="148" t="s">
        <v>262</v>
      </c>
      <c r="D10" s="148" t="s">
        <v>241</v>
      </c>
      <c r="E10" s="148" t="s">
        <v>237</v>
      </c>
      <c r="F10" s="148" t="s">
        <v>258</v>
      </c>
      <c r="G10" s="148">
        <v>2</v>
      </c>
    </row>
    <row r="11" spans="1:7">
      <c r="A11" s="148" t="s">
        <v>161</v>
      </c>
      <c r="B11" s="148" t="s">
        <v>263</v>
      </c>
      <c r="C11" s="148" t="s">
        <v>264</v>
      </c>
      <c r="D11" s="148" t="s">
        <v>241</v>
      </c>
      <c r="E11" s="148" t="s">
        <v>237</v>
      </c>
      <c r="F11" s="148" t="s">
        <v>258</v>
      </c>
      <c r="G11" s="148">
        <v>2</v>
      </c>
    </row>
    <row r="12" spans="1:7">
      <c r="A12" s="148" t="s">
        <v>163</v>
      </c>
      <c r="B12" s="148" t="s">
        <v>265</v>
      </c>
      <c r="C12" s="148" t="s">
        <v>265</v>
      </c>
      <c r="D12" s="148" t="s">
        <v>241</v>
      </c>
      <c r="E12" s="148" t="s">
        <v>237</v>
      </c>
      <c r="F12" s="148" t="s">
        <v>258</v>
      </c>
      <c r="G12" s="148">
        <v>2</v>
      </c>
    </row>
    <row r="13" spans="1:7">
      <c r="A13" s="148" t="s">
        <v>162</v>
      </c>
      <c r="B13" s="148" t="s">
        <v>266</v>
      </c>
      <c r="C13" s="148" t="s">
        <v>267</v>
      </c>
      <c r="D13" s="148" t="s">
        <v>241</v>
      </c>
      <c r="E13" s="148" t="s">
        <v>237</v>
      </c>
      <c r="F13" s="148" t="s">
        <v>258</v>
      </c>
      <c r="G13" s="148">
        <v>2</v>
      </c>
    </row>
    <row r="14" spans="1:7">
      <c r="A14" s="148" t="s">
        <v>168</v>
      </c>
      <c r="B14" s="148" t="s">
        <v>268</v>
      </c>
      <c r="C14" s="148" t="s">
        <v>268</v>
      </c>
      <c r="D14" s="148" t="s">
        <v>241</v>
      </c>
      <c r="E14" s="148" t="s">
        <v>237</v>
      </c>
      <c r="F14" s="148" t="s">
        <v>245</v>
      </c>
      <c r="G14" s="148">
        <v>3</v>
      </c>
    </row>
    <row r="15" spans="1:7">
      <c r="A15" s="148" t="s">
        <v>172</v>
      </c>
      <c r="B15" s="148" t="s">
        <v>269</v>
      </c>
      <c r="C15" s="148" t="s">
        <v>270</v>
      </c>
      <c r="D15" s="148" t="s">
        <v>241</v>
      </c>
      <c r="E15" s="148" t="s">
        <v>237</v>
      </c>
      <c r="F15" s="148" t="s">
        <v>245</v>
      </c>
      <c r="G15" s="148">
        <v>3</v>
      </c>
    </row>
    <row r="16" spans="1:7">
      <c r="A16" s="148" t="s">
        <v>167</v>
      </c>
      <c r="B16" s="148" t="s">
        <v>271</v>
      </c>
      <c r="C16" s="148" t="s">
        <v>272</v>
      </c>
      <c r="D16" s="148" t="s">
        <v>241</v>
      </c>
      <c r="E16" s="148" t="s">
        <v>237</v>
      </c>
      <c r="F16" s="148" t="s">
        <v>245</v>
      </c>
      <c r="G16" s="148">
        <v>3</v>
      </c>
    </row>
    <row r="17" spans="1:7">
      <c r="A17" s="148" t="s">
        <v>170</v>
      </c>
      <c r="B17" s="148" t="s">
        <v>273</v>
      </c>
      <c r="C17" s="148" t="s">
        <v>273</v>
      </c>
      <c r="D17" s="148" t="s">
        <v>241</v>
      </c>
      <c r="E17" s="148" t="s">
        <v>237</v>
      </c>
      <c r="F17" s="148" t="s">
        <v>245</v>
      </c>
      <c r="G17" s="148">
        <v>3</v>
      </c>
    </row>
    <row r="18" spans="1:7">
      <c r="A18" s="148" t="s">
        <v>274</v>
      </c>
      <c r="B18" s="148" t="s">
        <v>275</v>
      </c>
      <c r="C18" s="148" t="s">
        <v>276</v>
      </c>
      <c r="D18" s="148" t="s">
        <v>241</v>
      </c>
      <c r="E18" s="148" t="s">
        <v>237</v>
      </c>
      <c r="F18" s="148" t="s">
        <v>245</v>
      </c>
      <c r="G18" s="148">
        <v>3</v>
      </c>
    </row>
    <row r="19" spans="1:7">
      <c r="A19" s="148" t="s">
        <v>277</v>
      </c>
      <c r="B19" s="148" t="s">
        <v>278</v>
      </c>
      <c r="C19" s="148" t="s">
        <v>279</v>
      </c>
      <c r="D19" s="148" t="s">
        <v>241</v>
      </c>
      <c r="E19" s="148" t="s">
        <v>237</v>
      </c>
      <c r="F19" s="148" t="s">
        <v>245</v>
      </c>
      <c r="G19" s="148">
        <v>3</v>
      </c>
    </row>
    <row r="20" spans="1:7">
      <c r="A20" s="148" t="s">
        <v>280</v>
      </c>
      <c r="B20" s="148" t="s">
        <v>281</v>
      </c>
      <c r="C20" s="148" t="s">
        <v>282</v>
      </c>
      <c r="D20" s="148" t="s">
        <v>241</v>
      </c>
      <c r="E20" s="148" t="s">
        <v>237</v>
      </c>
      <c r="F20" s="148" t="s">
        <v>258</v>
      </c>
      <c r="G20" s="148">
        <v>4</v>
      </c>
    </row>
    <row r="21" spans="1:7">
      <c r="A21" s="148" t="s">
        <v>176</v>
      </c>
      <c r="B21" s="148" t="s">
        <v>283</v>
      </c>
      <c r="C21" s="148" t="s">
        <v>284</v>
      </c>
      <c r="D21" s="148" t="s">
        <v>241</v>
      </c>
      <c r="E21" s="148" t="s">
        <v>237</v>
      </c>
      <c r="F21" s="148" t="s">
        <v>258</v>
      </c>
      <c r="G21" s="148">
        <v>4</v>
      </c>
    </row>
    <row r="22" spans="1:7">
      <c r="A22" s="148" t="s">
        <v>177</v>
      </c>
      <c r="B22" s="148" t="s">
        <v>285</v>
      </c>
      <c r="C22" s="148" t="s">
        <v>286</v>
      </c>
      <c r="D22" s="148" t="s">
        <v>241</v>
      </c>
      <c r="E22" s="148" t="s">
        <v>237</v>
      </c>
      <c r="F22" s="148" t="s">
        <v>258</v>
      </c>
      <c r="G22" s="148">
        <v>4</v>
      </c>
    </row>
    <row r="23" spans="1:7">
      <c r="A23" s="148" t="s">
        <v>174</v>
      </c>
      <c r="B23" s="148" t="s">
        <v>287</v>
      </c>
      <c r="C23" s="148" t="s">
        <v>287</v>
      </c>
      <c r="D23" s="148" t="s">
        <v>241</v>
      </c>
      <c r="E23" s="148" t="s">
        <v>237</v>
      </c>
      <c r="F23" s="148" t="s">
        <v>258</v>
      </c>
      <c r="G23" s="148">
        <v>4</v>
      </c>
    </row>
    <row r="24" spans="1:7">
      <c r="A24" s="148" t="s">
        <v>290</v>
      </c>
      <c r="B24" s="148" t="s">
        <v>291</v>
      </c>
      <c r="C24" s="148" t="s">
        <v>291</v>
      </c>
      <c r="D24" s="148" t="s">
        <v>241</v>
      </c>
      <c r="E24" s="148" t="s">
        <v>237</v>
      </c>
      <c r="F24" s="148" t="s">
        <v>258</v>
      </c>
      <c r="G24" s="148">
        <v>4</v>
      </c>
    </row>
    <row r="25" spans="1:7">
      <c r="A25" s="148" t="s">
        <v>182</v>
      </c>
      <c r="B25" s="148" t="s">
        <v>288</v>
      </c>
      <c r="C25" s="148" t="s">
        <v>289</v>
      </c>
      <c r="D25" s="148" t="s">
        <v>241</v>
      </c>
      <c r="E25" s="148" t="s">
        <v>237</v>
      </c>
      <c r="F25" s="148" t="s">
        <v>245</v>
      </c>
      <c r="G25" s="148">
        <v>5</v>
      </c>
    </row>
    <row r="26" spans="1:7">
      <c r="A26" s="148" t="s">
        <v>292</v>
      </c>
      <c r="B26" s="148" t="s">
        <v>293</v>
      </c>
      <c r="C26" s="148" t="s">
        <v>293</v>
      </c>
      <c r="D26" s="148" t="s">
        <v>241</v>
      </c>
      <c r="E26" s="148" t="s">
        <v>237</v>
      </c>
      <c r="F26" s="148" t="s">
        <v>245</v>
      </c>
      <c r="G26" s="148">
        <v>5</v>
      </c>
    </row>
    <row r="27" spans="1:7">
      <c r="A27" s="148" t="s">
        <v>294</v>
      </c>
      <c r="B27" s="148" t="s">
        <v>295</v>
      </c>
      <c r="C27" s="148" t="s">
        <v>295</v>
      </c>
      <c r="D27" s="148" t="s">
        <v>241</v>
      </c>
      <c r="E27" s="148" t="s">
        <v>237</v>
      </c>
      <c r="F27" s="148" t="s">
        <v>245</v>
      </c>
      <c r="G27" s="148">
        <v>5</v>
      </c>
    </row>
    <row r="28" spans="1:7">
      <c r="A28" s="148" t="s">
        <v>180</v>
      </c>
      <c r="B28" s="148" t="s">
        <v>296</v>
      </c>
      <c r="C28" s="148" t="s">
        <v>296</v>
      </c>
      <c r="D28" s="148" t="s">
        <v>241</v>
      </c>
      <c r="E28" s="148" t="s">
        <v>237</v>
      </c>
      <c r="F28" s="148" t="s">
        <v>245</v>
      </c>
      <c r="G28" s="148">
        <v>5</v>
      </c>
    </row>
    <row r="29" spans="1:7">
      <c r="A29" s="148" t="s">
        <v>298</v>
      </c>
      <c r="B29" s="148" t="s">
        <v>297</v>
      </c>
      <c r="C29" s="148" t="s">
        <v>297</v>
      </c>
      <c r="D29" s="148" t="s">
        <v>320</v>
      </c>
      <c r="E29" s="148" t="s">
        <v>237</v>
      </c>
      <c r="F29" s="148" t="s">
        <v>245</v>
      </c>
      <c r="G29" s="148">
        <v>5</v>
      </c>
    </row>
    <row r="30" spans="1:7">
      <c r="A30" s="148" t="s">
        <v>317</v>
      </c>
      <c r="B30" s="148" t="s">
        <v>323</v>
      </c>
      <c r="C30" s="148" t="s">
        <v>322</v>
      </c>
      <c r="D30" s="148" t="s">
        <v>321</v>
      </c>
      <c r="E30" s="148" t="s">
        <v>237</v>
      </c>
      <c r="F30" s="148" t="s">
        <v>245</v>
      </c>
      <c r="G30" s="148">
        <v>5</v>
      </c>
    </row>
    <row r="31" spans="1:7">
      <c r="A31" s="148" t="s">
        <v>300</v>
      </c>
      <c r="B31" s="148" t="s">
        <v>299</v>
      </c>
      <c r="C31" s="148" t="s">
        <v>299</v>
      </c>
      <c r="D31" s="148" t="s">
        <v>321</v>
      </c>
      <c r="E31" s="148" t="s">
        <v>237</v>
      </c>
      <c r="F31" s="148" t="s">
        <v>245</v>
      </c>
      <c r="G31" s="148">
        <v>5</v>
      </c>
    </row>
    <row r="32" spans="1:7">
      <c r="A32" s="148" t="s">
        <v>302</v>
      </c>
      <c r="B32" s="148" t="s">
        <v>301</v>
      </c>
      <c r="C32" s="148" t="s">
        <v>301</v>
      </c>
      <c r="D32" s="148" t="s">
        <v>321</v>
      </c>
      <c r="E32" s="148" t="s">
        <v>237</v>
      </c>
      <c r="F32" s="148" t="s">
        <v>245</v>
      </c>
      <c r="G32" s="148">
        <v>5</v>
      </c>
    </row>
    <row r="33" spans="1:7">
      <c r="A33" s="148" t="s">
        <v>304</v>
      </c>
      <c r="B33" s="148" t="s">
        <v>303</v>
      </c>
      <c r="C33" s="148" t="s">
        <v>303</v>
      </c>
      <c r="D33" s="148" t="s">
        <v>321</v>
      </c>
      <c r="E33" s="148" t="s">
        <v>237</v>
      </c>
      <c r="F33" s="148" t="s">
        <v>245</v>
      </c>
      <c r="G33" s="148">
        <v>5</v>
      </c>
    </row>
    <row r="34" spans="1:7">
      <c r="A34" s="148" t="s">
        <v>318</v>
      </c>
      <c r="B34" s="148" t="s">
        <v>305</v>
      </c>
      <c r="C34" s="148" t="s">
        <v>305</v>
      </c>
      <c r="D34" s="148" t="s">
        <v>320</v>
      </c>
      <c r="E34" s="148" t="s">
        <v>237</v>
      </c>
      <c r="F34" s="148" t="s">
        <v>245</v>
      </c>
      <c r="G34" s="148">
        <v>5</v>
      </c>
    </row>
    <row r="35" spans="1:7">
      <c r="A35" s="148" t="s">
        <v>307</v>
      </c>
      <c r="B35" s="148" t="s">
        <v>306</v>
      </c>
      <c r="C35" s="148" t="s">
        <v>306</v>
      </c>
      <c r="D35" s="148" t="s">
        <v>320</v>
      </c>
      <c r="E35" s="148" t="s">
        <v>237</v>
      </c>
      <c r="F35" s="148" t="s">
        <v>258</v>
      </c>
      <c r="G35" s="148">
        <v>4</v>
      </c>
    </row>
    <row r="36" spans="1:7">
      <c r="A36" s="148" t="s">
        <v>309</v>
      </c>
      <c r="B36" s="148" t="s">
        <v>308</v>
      </c>
      <c r="C36" s="148" t="s">
        <v>308</v>
      </c>
      <c r="D36" s="148" t="s">
        <v>320</v>
      </c>
      <c r="E36" s="148" t="s">
        <v>237</v>
      </c>
      <c r="F36" s="148" t="s">
        <v>258</v>
      </c>
      <c r="G36" s="148">
        <v>4</v>
      </c>
    </row>
    <row r="37" spans="1:7">
      <c r="A37" s="148" t="s">
        <v>311</v>
      </c>
      <c r="B37" s="148" t="s">
        <v>310</v>
      </c>
      <c r="C37" s="148" t="s">
        <v>310</v>
      </c>
      <c r="D37" s="148" t="s">
        <v>320</v>
      </c>
      <c r="E37" s="148" t="s">
        <v>237</v>
      </c>
      <c r="F37" s="148" t="s">
        <v>258</v>
      </c>
      <c r="G37" s="148">
        <v>4</v>
      </c>
    </row>
    <row r="38" spans="1:7">
      <c r="A38" s="148" t="s">
        <v>313</v>
      </c>
      <c r="B38" s="148" t="s">
        <v>312</v>
      </c>
      <c r="C38" s="148" t="s">
        <v>312</v>
      </c>
      <c r="D38" s="148" t="s">
        <v>320</v>
      </c>
      <c r="E38" s="148" t="s">
        <v>237</v>
      </c>
      <c r="F38" s="148" t="s">
        <v>258</v>
      </c>
      <c r="G38" s="148">
        <v>4</v>
      </c>
    </row>
    <row r="39" spans="1:7">
      <c r="A39" s="218" t="s">
        <v>324</v>
      </c>
      <c r="C39" s="148" t="s">
        <v>325</v>
      </c>
      <c r="D39" s="148" t="s">
        <v>320</v>
      </c>
      <c r="F39" s="148" t="s">
        <v>258</v>
      </c>
      <c r="G39" s="148">
        <v>4</v>
      </c>
    </row>
    <row r="40" spans="1:7">
      <c r="A40" s="148" t="s">
        <v>315</v>
      </c>
      <c r="B40" s="148" t="s">
        <v>314</v>
      </c>
      <c r="C40" s="148" t="s">
        <v>314</v>
      </c>
      <c r="D40" s="148" t="s">
        <v>320</v>
      </c>
      <c r="E40" s="148" t="s">
        <v>237</v>
      </c>
      <c r="F40" s="148" t="s">
        <v>245</v>
      </c>
      <c r="G40" s="148">
        <v>5</v>
      </c>
    </row>
    <row r="41" spans="1:7">
      <c r="A41" s="148" t="s">
        <v>319</v>
      </c>
      <c r="B41" s="148" t="s">
        <v>316</v>
      </c>
      <c r="C41" s="148" t="s">
        <v>316</v>
      </c>
      <c r="D41" s="148" t="s">
        <v>321</v>
      </c>
      <c r="E41" s="148" t="s">
        <v>237</v>
      </c>
      <c r="F41" s="148" t="s">
        <v>245</v>
      </c>
      <c r="G41" s="148">
        <v>5</v>
      </c>
    </row>
  </sheetData>
  <autoFilter ref="A1:G41" xr:uid="{EAB90FFE-41B6-4A49-BAEE-598C3DAA1886}"/>
  <phoneticPr fontId="22" type="noConversion"/>
  <conditionalFormatting sqref="E1:E1048576 F2:F41">
    <cfRule type="containsText" dxfId="0" priority="1" operator="containsText" text="ja">
      <formula>NOT(ISERROR(SEARCH("ja",E1)))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83</vt:i4>
      </vt:variant>
    </vt:vector>
  </HeadingPairs>
  <TitlesOfParts>
    <vt:vector size="88" baseType="lpstr">
      <vt:lpstr>Original</vt:lpstr>
      <vt:lpstr>WiSoSe_Finder</vt:lpstr>
      <vt:lpstr>Processing</vt:lpstr>
      <vt:lpstr>Result</vt:lpstr>
      <vt:lpstr>AktDB_Wi20</vt:lpstr>
      <vt:lpstr>Original!_CTVL001ffcc5efa1e8a4c8da401cb90bfbf5b94</vt:lpstr>
      <vt:lpstr>Original!_Hlk26539694</vt:lpstr>
      <vt:lpstr>Original!_Toc24127405</vt:lpstr>
      <vt:lpstr>Original!_Toc24127406</vt:lpstr>
      <vt:lpstr>Original!_Toc24127407</vt:lpstr>
      <vt:lpstr>Original!_Toc24127408</vt:lpstr>
      <vt:lpstr>Original!_Toc24127409</vt:lpstr>
      <vt:lpstr>Original!_Toc24127410</vt:lpstr>
      <vt:lpstr>Original!_Toc24127411</vt:lpstr>
      <vt:lpstr>Original!_Toc24127412</vt:lpstr>
      <vt:lpstr>Original!_Toc24127413</vt:lpstr>
      <vt:lpstr>Original!_Toc24127414</vt:lpstr>
      <vt:lpstr>Original!_Toc24127415</vt:lpstr>
      <vt:lpstr>Original!_Toc24127416</vt:lpstr>
      <vt:lpstr>Original!_Toc24127417</vt:lpstr>
      <vt:lpstr>Original!_Toc24127418</vt:lpstr>
      <vt:lpstr>Original!_Toc24127419</vt:lpstr>
      <vt:lpstr>Original!_Toc24127420</vt:lpstr>
      <vt:lpstr>Original!_Toc24127421</vt:lpstr>
      <vt:lpstr>Original!_Toc24127422</vt:lpstr>
      <vt:lpstr>Original!_Toc24127423</vt:lpstr>
      <vt:lpstr>Original!_Toc24127424</vt:lpstr>
      <vt:lpstr>Original!_Toc24127425</vt:lpstr>
      <vt:lpstr>Original!_Toc24127426</vt:lpstr>
      <vt:lpstr>Original!_Toc24127427</vt:lpstr>
      <vt:lpstr>Original!_Toc24127428</vt:lpstr>
      <vt:lpstr>Original!_Toc24127429</vt:lpstr>
      <vt:lpstr>Original!_Toc24127430</vt:lpstr>
      <vt:lpstr>Original!_Toc24127431</vt:lpstr>
      <vt:lpstr>Original!_Toc24127433</vt:lpstr>
      <vt:lpstr>Original!_Toc24127434</vt:lpstr>
      <vt:lpstr>Original!_Toc24127435</vt:lpstr>
      <vt:lpstr>Original!_Toc24127436</vt:lpstr>
      <vt:lpstr>Original!_Toc24127437</vt:lpstr>
      <vt:lpstr>Original!_Toc24127438</vt:lpstr>
      <vt:lpstr>Original!_Toc24127439</vt:lpstr>
      <vt:lpstr>Original!_Toc24127440</vt:lpstr>
      <vt:lpstr>Original!_Toc24127441</vt:lpstr>
      <vt:lpstr>Original!_Toc24127442</vt:lpstr>
      <vt:lpstr>Original!_Toc24127443</vt:lpstr>
      <vt:lpstr>Original!_Toc24127444</vt:lpstr>
      <vt:lpstr>Original!_Toc24127445</vt:lpstr>
      <vt:lpstr>Original!_Toc24127446</vt:lpstr>
      <vt:lpstr>Original!_Toc24127447</vt:lpstr>
      <vt:lpstr>Original!_Toc24127448</vt:lpstr>
      <vt:lpstr>Original!_Toc24127449</vt:lpstr>
      <vt:lpstr>Original!_Toc30080398</vt:lpstr>
      <vt:lpstr>Original!_Toc30080399</vt:lpstr>
      <vt:lpstr>Original!_Toc30080400</vt:lpstr>
      <vt:lpstr>Original!_Toc30080401</vt:lpstr>
      <vt:lpstr>Original!_Toc30080402</vt:lpstr>
      <vt:lpstr>Original!_Toc30080404</vt:lpstr>
      <vt:lpstr>Original!_Toc30080405</vt:lpstr>
      <vt:lpstr>Original!_Toc30080406</vt:lpstr>
      <vt:lpstr>Original!_Toc30080408</vt:lpstr>
      <vt:lpstr>Original!_Toc30080409</vt:lpstr>
      <vt:lpstr>Original!_Toc30080410</vt:lpstr>
      <vt:lpstr>Original!_Toc30080411</vt:lpstr>
      <vt:lpstr>Original!_Toc30080412</vt:lpstr>
      <vt:lpstr>Original!_Toc30080414</vt:lpstr>
      <vt:lpstr>Original!_Toc30080415</vt:lpstr>
      <vt:lpstr>Original!_Toc30080416</vt:lpstr>
      <vt:lpstr>Original!_Toc30080417</vt:lpstr>
      <vt:lpstr>Original!_Toc30080418</vt:lpstr>
      <vt:lpstr>Original!_Toc30080419</vt:lpstr>
      <vt:lpstr>Original!_Toc30080420</vt:lpstr>
      <vt:lpstr>Original!_Toc30080421</vt:lpstr>
      <vt:lpstr>Original!_Toc30080422</vt:lpstr>
      <vt:lpstr>Original!_Toc30080423</vt:lpstr>
      <vt:lpstr>Original!_Toc30080430</vt:lpstr>
      <vt:lpstr>Original!_Toc41552884</vt:lpstr>
      <vt:lpstr>Original!_Toc41552885</vt:lpstr>
      <vt:lpstr>Original!_Toc41552886</vt:lpstr>
      <vt:lpstr>Original!_Toc41552887</vt:lpstr>
      <vt:lpstr>Original!_Toc41552888</vt:lpstr>
      <vt:lpstr>Original!_Toc41552889</vt:lpstr>
      <vt:lpstr>Original!_Toc41552890</vt:lpstr>
      <vt:lpstr>Original!_Toc41552892</vt:lpstr>
      <vt:lpstr>Original!_Toc41552893</vt:lpstr>
      <vt:lpstr>Original!_Toc41552894</vt:lpstr>
      <vt:lpstr>Original!_Toc41552895</vt:lpstr>
      <vt:lpstr>Original!_Toc488138527</vt:lpstr>
      <vt:lpstr>Original!productTitle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Autor 1</cp:lastModifiedBy>
  <dcterms:created xsi:type="dcterms:W3CDTF">2019-12-30T23:05:00Z</dcterms:created>
  <dcterms:modified xsi:type="dcterms:W3CDTF">2020-07-07T10:15:48Z</dcterms:modified>
</cp:coreProperties>
</file>